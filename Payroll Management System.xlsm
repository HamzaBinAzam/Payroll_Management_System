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fif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amza\Desktop\"/>
    </mc:Choice>
  </mc:AlternateContent>
  <xr:revisionPtr revIDLastSave="0" documentId="13_ncr:1_{58C8FFD5-678A-428C-AAA4-EC700C3937E4}" xr6:coauthVersionLast="47" xr6:coauthVersionMax="47" xr10:uidLastSave="{00000000-0000-0000-0000-000000000000}"/>
  <workbookProtection workbookAlgorithmName="SHA-512" workbookHashValue="TqzsE/Di9z9AcIPzNC+ZVFrLU0GXvy8oqtJVoWhRJGvc+YCZsnr9vRRjBcyRPux2KLL+05XY23dOOTtuEKDxDg==" workbookSaltValue="na94wHVrlhzygq3wFsnmfw==" workbookSpinCount="100000" lockStructure="1"/>
  <bookViews>
    <workbookView xWindow="-120" yWindow="-120" windowWidth="24240" windowHeight="13140" activeTab="1" xr2:uid="{5748D4A5-E9EA-4DD2-8391-FFE6E1CAC18F}"/>
  </bookViews>
  <sheets>
    <sheet name="DASHBOARD" sheetId="1" r:id="rId1"/>
    <sheet name="Payroll Sheet" sheetId="10" r:id="rId2"/>
    <sheet name="Attendance" sheetId="11" r:id="rId3"/>
    <sheet name="Calculations" sheetId="6" state="hidden" r:id="rId4"/>
    <sheet name="Employee_Register" sheetId="7" r:id="rId5"/>
    <sheet name="Employees" sheetId="8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7" i="1" l="1"/>
  <c r="AD84" i="6"/>
  <c r="AD85" i="6"/>
  <c r="AD86" i="6"/>
  <c r="AD87" i="6"/>
  <c r="AD88" i="6"/>
  <c r="AD89" i="6"/>
  <c r="AD25" i="6"/>
  <c r="AD26" i="6"/>
  <c r="AD27" i="6"/>
  <c r="AD28" i="6"/>
  <c r="AD29" i="6"/>
  <c r="AD30" i="6"/>
  <c r="AD31" i="6"/>
  <c r="AD32" i="6"/>
  <c r="AD33" i="6"/>
  <c r="AD34" i="6"/>
  <c r="AD35" i="6"/>
  <c r="AD36" i="6"/>
  <c r="AD37" i="6"/>
  <c r="AD38" i="6"/>
  <c r="AD39" i="6"/>
  <c r="AD40" i="6"/>
  <c r="AD41" i="6"/>
  <c r="AD42" i="6"/>
  <c r="AD43" i="6"/>
  <c r="AD44" i="6"/>
  <c r="AD45" i="6"/>
  <c r="AD46" i="6"/>
  <c r="AD47" i="6"/>
  <c r="AD48" i="6"/>
  <c r="AD49" i="6"/>
  <c r="AD50" i="6"/>
  <c r="AD51" i="6"/>
  <c r="AD52" i="6"/>
  <c r="AD53" i="6"/>
  <c r="AD54" i="6"/>
  <c r="AD55" i="6"/>
  <c r="AD56" i="6"/>
  <c r="AD57" i="6"/>
  <c r="AD58" i="6"/>
  <c r="AD59" i="6"/>
  <c r="AD60" i="6"/>
  <c r="AD61" i="6"/>
  <c r="AD62" i="6"/>
  <c r="AD63" i="6"/>
  <c r="AD64" i="6"/>
  <c r="AD65" i="6"/>
  <c r="AD66" i="6"/>
  <c r="AD67" i="6"/>
  <c r="AD68" i="6"/>
  <c r="AD69" i="6"/>
  <c r="AD70" i="6"/>
  <c r="AD71" i="6"/>
  <c r="AD72" i="6"/>
  <c r="AD73" i="6"/>
  <c r="AD74" i="6"/>
  <c r="AD75" i="6"/>
  <c r="AD76" i="6"/>
  <c r="AD77" i="6"/>
  <c r="AD78" i="6"/>
  <c r="AD79" i="6"/>
  <c r="AD80" i="6"/>
  <c r="AD81" i="6"/>
  <c r="AD82" i="6"/>
  <c r="AD83" i="6"/>
  <c r="A19" i="6"/>
  <c r="B19" i="6" s="1"/>
  <c r="A23" i="6" a="1"/>
  <c r="A23" i="6" s="1"/>
  <c r="K14" i="1" s="1" a="1"/>
  <c r="L15" i="1" s="1"/>
  <c r="AA6" i="6"/>
  <c r="AA10" i="6"/>
  <c r="AA14" i="6"/>
  <c r="AA18" i="6"/>
  <c r="AA22" i="6"/>
  <c r="AA26" i="6"/>
  <c r="AA30" i="6"/>
  <c r="AA34" i="6"/>
  <c r="AA38" i="6"/>
  <c r="AA42" i="6"/>
  <c r="AA46" i="6"/>
  <c r="AA50" i="6"/>
  <c r="AA54" i="6"/>
  <c r="AA58" i="6"/>
  <c r="AA62" i="6"/>
  <c r="AA66" i="6"/>
  <c r="AA70" i="6"/>
  <c r="AA74" i="6"/>
  <c r="AA78" i="6"/>
  <c r="AA82" i="6"/>
  <c r="AA86" i="6"/>
  <c r="Y5" i="6"/>
  <c r="Y6" i="6"/>
  <c r="Y7" i="6"/>
  <c r="Y8" i="6"/>
  <c r="Z8" i="6" s="1"/>
  <c r="AA8" i="6" s="1"/>
  <c r="Y9" i="6"/>
  <c r="Y10" i="6"/>
  <c r="Y11" i="6"/>
  <c r="Y12" i="6"/>
  <c r="Z12" i="6" s="1"/>
  <c r="AA12" i="6" s="1"/>
  <c r="Y13" i="6"/>
  <c r="Y14" i="6"/>
  <c r="Y15" i="6"/>
  <c r="Y16" i="6"/>
  <c r="Z16" i="6" s="1"/>
  <c r="AA16" i="6" s="1"/>
  <c r="Y17" i="6"/>
  <c r="Y18" i="6"/>
  <c r="Y19" i="6"/>
  <c r="Y20" i="6"/>
  <c r="Z20" i="6" s="1"/>
  <c r="AA20" i="6" s="1"/>
  <c r="Y21" i="6"/>
  <c r="Y22" i="6"/>
  <c r="Y23" i="6"/>
  <c r="Y24" i="6"/>
  <c r="Z24" i="6" s="1"/>
  <c r="AA24" i="6" s="1"/>
  <c r="Y25" i="6"/>
  <c r="Y26" i="6"/>
  <c r="Y27" i="6"/>
  <c r="Y28" i="6"/>
  <c r="Z28" i="6" s="1"/>
  <c r="AA28" i="6" s="1"/>
  <c r="Y29" i="6"/>
  <c r="Y30" i="6"/>
  <c r="Y31" i="6"/>
  <c r="Y32" i="6"/>
  <c r="Z32" i="6" s="1"/>
  <c r="AA32" i="6" s="1"/>
  <c r="Y33" i="6"/>
  <c r="Y34" i="6"/>
  <c r="Y35" i="6"/>
  <c r="Y36" i="6"/>
  <c r="Z36" i="6" s="1"/>
  <c r="AA36" i="6" s="1"/>
  <c r="Y37" i="6"/>
  <c r="Y38" i="6"/>
  <c r="Y39" i="6"/>
  <c r="Y40" i="6"/>
  <c r="Z40" i="6" s="1"/>
  <c r="AA40" i="6" s="1"/>
  <c r="Y41" i="6"/>
  <c r="Y42" i="6"/>
  <c r="Y43" i="6"/>
  <c r="Z43" i="6" s="1"/>
  <c r="AA43" i="6" s="1"/>
  <c r="Y44" i="6"/>
  <c r="Z44" i="6" s="1"/>
  <c r="AA44" i="6" s="1"/>
  <c r="Y45" i="6"/>
  <c r="Y46" i="6"/>
  <c r="Y47" i="6"/>
  <c r="Y48" i="6"/>
  <c r="Y49" i="6"/>
  <c r="Y50" i="6"/>
  <c r="Y51" i="6"/>
  <c r="Y52" i="6"/>
  <c r="Y53" i="6"/>
  <c r="Y54" i="6"/>
  <c r="Y55" i="6"/>
  <c r="Y56" i="6"/>
  <c r="Y57" i="6"/>
  <c r="Y58" i="6"/>
  <c r="Y59" i="6"/>
  <c r="Y60" i="6"/>
  <c r="Y61" i="6"/>
  <c r="Y62" i="6"/>
  <c r="Y63" i="6"/>
  <c r="Y64" i="6"/>
  <c r="Y65" i="6"/>
  <c r="Y66" i="6"/>
  <c r="Y67" i="6"/>
  <c r="Y68" i="6"/>
  <c r="Y69" i="6"/>
  <c r="Y70" i="6"/>
  <c r="Y71" i="6"/>
  <c r="Y72" i="6"/>
  <c r="Y73" i="6"/>
  <c r="Y74" i="6"/>
  <c r="Y75" i="6"/>
  <c r="Y76" i="6"/>
  <c r="Y77" i="6"/>
  <c r="Y78" i="6"/>
  <c r="Y79" i="6"/>
  <c r="Y80" i="6"/>
  <c r="Y81" i="6"/>
  <c r="Y82" i="6"/>
  <c r="Y83" i="6"/>
  <c r="Y84" i="6"/>
  <c r="Y85" i="6"/>
  <c r="Y86" i="6"/>
  <c r="A4" i="7" a="1"/>
  <c r="A4" i="7" s="1"/>
  <c r="E12" i="10" a="1"/>
  <c r="E12" i="10" s="1"/>
  <c r="F12" i="1"/>
  <c r="L17" i="1"/>
  <c r="L18" i="1"/>
  <c r="L19" i="1"/>
  <c r="L20" i="1"/>
  <c r="Z76" i="6"/>
  <c r="AA76" i="6" s="1"/>
  <c r="Z77" i="6"/>
  <c r="AA77" i="6" s="1"/>
  <c r="Z78" i="6"/>
  <c r="Z79" i="6"/>
  <c r="AA79" i="6" s="1"/>
  <c r="Z80" i="6"/>
  <c r="AA80" i="6" s="1"/>
  <c r="Z81" i="6"/>
  <c r="AA81" i="6" s="1"/>
  <c r="Z82" i="6"/>
  <c r="Z83" i="6"/>
  <c r="AA83" i="6" s="1"/>
  <c r="Z84" i="6"/>
  <c r="AA84" i="6" s="1"/>
  <c r="Z85" i="6"/>
  <c r="AA85" i="6" s="1"/>
  <c r="Z86" i="6"/>
  <c r="Z45" i="6"/>
  <c r="AA45" i="6" s="1"/>
  <c r="Z46" i="6"/>
  <c r="Z47" i="6"/>
  <c r="AA47" i="6" s="1"/>
  <c r="Z48" i="6"/>
  <c r="AA48" i="6" s="1"/>
  <c r="Z49" i="6"/>
  <c r="AA49" i="6" s="1"/>
  <c r="Z50" i="6"/>
  <c r="Z51" i="6"/>
  <c r="AA51" i="6" s="1"/>
  <c r="Z52" i="6"/>
  <c r="AA52" i="6" s="1"/>
  <c r="Z53" i="6"/>
  <c r="AA53" i="6" s="1"/>
  <c r="Z54" i="6"/>
  <c r="Z55" i="6"/>
  <c r="AA55" i="6" s="1"/>
  <c r="Z56" i="6"/>
  <c r="AA56" i="6" s="1"/>
  <c r="Z57" i="6"/>
  <c r="AA57" i="6" s="1"/>
  <c r="Z58" i="6"/>
  <c r="Z59" i="6"/>
  <c r="AA59" i="6" s="1"/>
  <c r="Z60" i="6"/>
  <c r="AA60" i="6" s="1"/>
  <c r="Z61" i="6"/>
  <c r="AA61" i="6" s="1"/>
  <c r="Z62" i="6"/>
  <c r="Z63" i="6"/>
  <c r="AA63" i="6" s="1"/>
  <c r="Z64" i="6"/>
  <c r="AA64" i="6" s="1"/>
  <c r="Z65" i="6"/>
  <c r="AA65" i="6" s="1"/>
  <c r="Z66" i="6"/>
  <c r="Z67" i="6"/>
  <c r="AA67" i="6" s="1"/>
  <c r="Z68" i="6"/>
  <c r="AA68" i="6" s="1"/>
  <c r="Z69" i="6"/>
  <c r="AA69" i="6" s="1"/>
  <c r="Z70" i="6"/>
  <c r="Z71" i="6"/>
  <c r="AA71" i="6" s="1"/>
  <c r="Z72" i="6"/>
  <c r="AA72" i="6" s="1"/>
  <c r="Z73" i="6"/>
  <c r="AA73" i="6" s="1"/>
  <c r="Z74" i="6"/>
  <c r="Z75" i="6"/>
  <c r="AA75" i="6" s="1"/>
  <c r="Z6" i="6"/>
  <c r="Z7" i="6"/>
  <c r="AA7" i="6" s="1"/>
  <c r="Z9" i="6"/>
  <c r="AA9" i="6" s="1"/>
  <c r="Z10" i="6"/>
  <c r="Z11" i="6"/>
  <c r="AA11" i="6" s="1"/>
  <c r="Z13" i="6"/>
  <c r="AA13" i="6" s="1"/>
  <c r="Z14" i="6"/>
  <c r="Z15" i="6"/>
  <c r="AA15" i="6" s="1"/>
  <c r="Z17" i="6"/>
  <c r="AA17" i="6" s="1"/>
  <c r="Z18" i="6"/>
  <c r="Z19" i="6"/>
  <c r="AA19" i="6" s="1"/>
  <c r="Z21" i="6"/>
  <c r="AA21" i="6" s="1"/>
  <c r="Z22" i="6"/>
  <c r="Z23" i="6"/>
  <c r="AA23" i="6" s="1"/>
  <c r="Z25" i="6"/>
  <c r="AA25" i="6" s="1"/>
  <c r="Z26" i="6"/>
  <c r="Z27" i="6"/>
  <c r="AA27" i="6" s="1"/>
  <c r="Z29" i="6"/>
  <c r="AA29" i="6" s="1"/>
  <c r="Z30" i="6"/>
  <c r="Z31" i="6"/>
  <c r="AA31" i="6" s="1"/>
  <c r="Z33" i="6"/>
  <c r="AA33" i="6" s="1"/>
  <c r="Z34" i="6"/>
  <c r="Z35" i="6"/>
  <c r="AA35" i="6" s="1"/>
  <c r="Z37" i="6"/>
  <c r="AA37" i="6" s="1"/>
  <c r="Z38" i="6"/>
  <c r="Z39" i="6"/>
  <c r="AA39" i="6" s="1"/>
  <c r="Z41" i="6"/>
  <c r="AA41" i="6" s="1"/>
  <c r="Z42" i="6"/>
  <c r="Z5" i="6"/>
  <c r="AA5" i="6" s="1"/>
  <c r="AC5" i="6" s="1" a="1"/>
  <c r="V46" i="6"/>
  <c r="V47" i="6"/>
  <c r="V48" i="6"/>
  <c r="V49" i="6"/>
  <c r="V50" i="6"/>
  <c r="V51" i="6"/>
  <c r="V52" i="6"/>
  <c r="V53" i="6"/>
  <c r="V54" i="6"/>
  <c r="V55" i="6"/>
  <c r="V56" i="6"/>
  <c r="V57" i="6"/>
  <c r="V58" i="6"/>
  <c r="V59" i="6"/>
  <c r="V60" i="6"/>
  <c r="V61" i="6"/>
  <c r="V62" i="6"/>
  <c r="V63" i="6"/>
  <c r="V64" i="6"/>
  <c r="V65" i="6"/>
  <c r="V66" i="6"/>
  <c r="V67" i="6"/>
  <c r="V68" i="6"/>
  <c r="V69" i="6"/>
  <c r="V70" i="6"/>
  <c r="V71" i="6"/>
  <c r="V72" i="6"/>
  <c r="V73" i="6"/>
  <c r="V74" i="6"/>
  <c r="V75" i="6"/>
  <c r="V76" i="6"/>
  <c r="V77" i="6"/>
  <c r="V78" i="6"/>
  <c r="V79" i="6"/>
  <c r="V80" i="6"/>
  <c r="V81" i="6"/>
  <c r="V82" i="6"/>
  <c r="V83" i="6"/>
  <c r="V84" i="6"/>
  <c r="V85" i="6"/>
  <c r="V86" i="6"/>
  <c r="V87" i="6"/>
  <c r="V88" i="6"/>
  <c r="V89" i="6"/>
  <c r="V90" i="6"/>
  <c r="V91" i="6"/>
  <c r="V92" i="6"/>
  <c r="V93" i="6"/>
  <c r="V94" i="6"/>
  <c r="V95" i="6"/>
  <c r="V96" i="6"/>
  <c r="V97" i="6"/>
  <c r="V98" i="6"/>
  <c r="V99" i="6"/>
  <c r="Q4" i="10"/>
  <c r="Q41" i="10"/>
  <c r="Q42" i="10"/>
  <c r="Q43" i="10"/>
  <c r="Q44" i="10"/>
  <c r="Q45" i="10"/>
  <c r="Q46" i="10"/>
  <c r="Q47" i="10"/>
  <c r="Q48" i="10"/>
  <c r="Q49" i="10"/>
  <c r="Q50" i="10"/>
  <c r="Q51" i="10"/>
  <c r="Q52" i="10"/>
  <c r="Q53" i="10"/>
  <c r="Q54" i="10"/>
  <c r="Q55" i="10"/>
  <c r="Q56" i="10"/>
  <c r="Q57" i="10"/>
  <c r="Q58" i="10"/>
  <c r="Q59" i="10"/>
  <c r="Q60" i="10"/>
  <c r="Q61" i="10"/>
  <c r="Q62" i="10"/>
  <c r="Q63" i="10"/>
  <c r="Q64" i="10"/>
  <c r="Q65" i="10"/>
  <c r="Q66" i="10"/>
  <c r="Q67" i="10"/>
  <c r="Q68" i="10"/>
  <c r="Q69" i="10"/>
  <c r="Q70" i="10"/>
  <c r="Q71" i="10"/>
  <c r="Q72" i="10"/>
  <c r="Q73" i="10"/>
  <c r="Q74" i="10"/>
  <c r="Q75" i="10"/>
  <c r="Q76" i="10"/>
  <c r="Q77" i="10"/>
  <c r="Q78" i="10"/>
  <c r="Q79" i="10"/>
  <c r="Q80" i="10"/>
  <c r="Q81" i="10"/>
  <c r="Q82" i="10"/>
  <c r="Q83" i="10"/>
  <c r="Q84" i="10"/>
  <c r="Q85" i="10"/>
  <c r="Q86" i="10"/>
  <c r="Q87" i="10"/>
  <c r="Q88" i="10"/>
  <c r="Q89" i="10"/>
  <c r="Q90" i="10"/>
  <c r="Q91" i="10"/>
  <c r="Q92" i="10"/>
  <c r="Q93" i="10"/>
  <c r="Q94" i="10"/>
  <c r="Q95" i="10"/>
  <c r="Q96" i="10"/>
  <c r="Q97" i="10"/>
  <c r="Q98" i="10"/>
  <c r="Q99" i="10"/>
  <c r="Q100" i="10"/>
  <c r="Q101" i="10"/>
  <c r="Q102" i="10"/>
  <c r="Q103" i="10"/>
  <c r="Q104" i="10"/>
  <c r="Q105" i="10"/>
  <c r="Q106" i="10"/>
  <c r="Q107" i="10"/>
  <c r="Q108" i="10"/>
  <c r="Q109" i="10"/>
  <c r="Q110" i="10"/>
  <c r="Q111" i="10"/>
  <c r="Q112" i="10"/>
  <c r="Q113" i="10"/>
  <c r="Q114" i="10"/>
  <c r="Q115" i="10"/>
  <c r="Q116" i="10"/>
  <c r="Q117" i="10"/>
  <c r="Q118" i="10"/>
  <c r="Q119" i="10"/>
  <c r="Q120" i="10"/>
  <c r="Q121" i="10"/>
  <c r="Q122" i="10"/>
  <c r="Q123" i="10"/>
  <c r="U51" i="6"/>
  <c r="U52" i="6"/>
  <c r="U53" i="6"/>
  <c r="U54" i="6"/>
  <c r="U55" i="6"/>
  <c r="U56" i="6"/>
  <c r="U57" i="6"/>
  <c r="U58" i="6"/>
  <c r="U59" i="6"/>
  <c r="U60" i="6"/>
  <c r="U61" i="6"/>
  <c r="U62" i="6"/>
  <c r="U63" i="6"/>
  <c r="U64" i="6"/>
  <c r="U65" i="6"/>
  <c r="U66" i="6"/>
  <c r="U67" i="6"/>
  <c r="U68" i="6"/>
  <c r="U69" i="6"/>
  <c r="U70" i="6"/>
  <c r="U71" i="6"/>
  <c r="U72" i="6"/>
  <c r="U73" i="6"/>
  <c r="U74" i="6"/>
  <c r="U75" i="6"/>
  <c r="U76" i="6"/>
  <c r="U77" i="6"/>
  <c r="U78" i="6"/>
  <c r="U79" i="6"/>
  <c r="U80" i="6"/>
  <c r="U81" i="6"/>
  <c r="U82" i="6"/>
  <c r="U83" i="6"/>
  <c r="U84" i="6"/>
  <c r="U85" i="6"/>
  <c r="U86" i="6"/>
  <c r="U87" i="6"/>
  <c r="U88" i="6"/>
  <c r="U89" i="6"/>
  <c r="U90" i="6"/>
  <c r="U91" i="6"/>
  <c r="U92" i="6"/>
  <c r="U93" i="6"/>
  <c r="U94" i="6"/>
  <c r="U95" i="6"/>
  <c r="U96" i="6"/>
  <c r="U97" i="6"/>
  <c r="U98" i="6"/>
  <c r="U99" i="6"/>
  <c r="T51" i="6"/>
  <c r="T52" i="6"/>
  <c r="T53" i="6"/>
  <c r="T54" i="6"/>
  <c r="T55" i="6"/>
  <c r="T56" i="6"/>
  <c r="T57" i="6"/>
  <c r="T58" i="6"/>
  <c r="T59" i="6"/>
  <c r="T60" i="6"/>
  <c r="T61" i="6"/>
  <c r="T62" i="6"/>
  <c r="T63" i="6"/>
  <c r="T64" i="6"/>
  <c r="T65" i="6"/>
  <c r="T66" i="6"/>
  <c r="T67" i="6"/>
  <c r="T68" i="6"/>
  <c r="T69" i="6"/>
  <c r="T70" i="6"/>
  <c r="T71" i="6"/>
  <c r="T72" i="6"/>
  <c r="T73" i="6"/>
  <c r="T74" i="6"/>
  <c r="T75" i="6"/>
  <c r="T76" i="6"/>
  <c r="T77" i="6"/>
  <c r="T78" i="6"/>
  <c r="T79" i="6"/>
  <c r="T80" i="6"/>
  <c r="T81" i="6"/>
  <c r="T82" i="6"/>
  <c r="T83" i="6"/>
  <c r="T84" i="6"/>
  <c r="T85" i="6"/>
  <c r="T86" i="6"/>
  <c r="T87" i="6"/>
  <c r="T88" i="6"/>
  <c r="T89" i="6"/>
  <c r="T90" i="6"/>
  <c r="T91" i="6"/>
  <c r="T92" i="6"/>
  <c r="T93" i="6"/>
  <c r="T94" i="6"/>
  <c r="T95" i="6"/>
  <c r="T96" i="6"/>
  <c r="T97" i="6"/>
  <c r="T98" i="6"/>
  <c r="T99" i="6"/>
  <c r="Q51" i="6"/>
  <c r="R51" i="6" s="1"/>
  <c r="Q52" i="6"/>
  <c r="S52" i="6" s="1"/>
  <c r="Q53" i="6"/>
  <c r="S53" i="6" s="1"/>
  <c r="Q54" i="6"/>
  <c r="S54" i="6" s="1"/>
  <c r="Q55" i="6"/>
  <c r="R55" i="6" s="1"/>
  <c r="Q56" i="6"/>
  <c r="S56" i="6" s="1"/>
  <c r="Q57" i="6"/>
  <c r="S57" i="6" s="1"/>
  <c r="Q58" i="6"/>
  <c r="S58" i="6" s="1"/>
  <c r="Q59" i="6"/>
  <c r="R59" i="6" s="1"/>
  <c r="Q60" i="6"/>
  <c r="S60" i="6" s="1"/>
  <c r="Q61" i="6"/>
  <c r="S61" i="6" s="1"/>
  <c r="Q62" i="6"/>
  <c r="S62" i="6" s="1"/>
  <c r="Q63" i="6"/>
  <c r="R63" i="6" s="1"/>
  <c r="Q64" i="6"/>
  <c r="S64" i="6" s="1"/>
  <c r="Q65" i="6"/>
  <c r="S65" i="6" s="1"/>
  <c r="Q66" i="6"/>
  <c r="S66" i="6" s="1"/>
  <c r="Q67" i="6"/>
  <c r="R67" i="6" s="1"/>
  <c r="Q68" i="6"/>
  <c r="S68" i="6" s="1"/>
  <c r="Q69" i="6"/>
  <c r="S69" i="6" s="1"/>
  <c r="Q70" i="6"/>
  <c r="S70" i="6" s="1"/>
  <c r="Q71" i="6"/>
  <c r="R71" i="6" s="1"/>
  <c r="Q72" i="6"/>
  <c r="S72" i="6" s="1"/>
  <c r="Q73" i="6"/>
  <c r="S73" i="6" s="1"/>
  <c r="Q74" i="6"/>
  <c r="S74" i="6" s="1"/>
  <c r="Q75" i="6"/>
  <c r="R75" i="6" s="1"/>
  <c r="Q76" i="6"/>
  <c r="S76" i="6" s="1"/>
  <c r="Q77" i="6"/>
  <c r="S77" i="6" s="1"/>
  <c r="Q78" i="6"/>
  <c r="S78" i="6" s="1"/>
  <c r="Q79" i="6"/>
  <c r="R79" i="6" s="1"/>
  <c r="Q80" i="6"/>
  <c r="S80" i="6" s="1"/>
  <c r="Q81" i="6"/>
  <c r="S81" i="6" s="1"/>
  <c r="Q82" i="6"/>
  <c r="S82" i="6" s="1"/>
  <c r="Q83" i="6"/>
  <c r="R83" i="6" s="1"/>
  <c r="Q84" i="6"/>
  <c r="S84" i="6" s="1"/>
  <c r="Q85" i="6"/>
  <c r="S85" i="6" s="1"/>
  <c r="Q86" i="6"/>
  <c r="S86" i="6" s="1"/>
  <c r="Q87" i="6"/>
  <c r="R87" i="6" s="1"/>
  <c r="Q88" i="6"/>
  <c r="S88" i="6" s="1"/>
  <c r="Q89" i="6"/>
  <c r="S89" i="6" s="1"/>
  <c r="Q90" i="6"/>
  <c r="S90" i="6" s="1"/>
  <c r="Q91" i="6"/>
  <c r="R91" i="6" s="1"/>
  <c r="Q92" i="6"/>
  <c r="S92" i="6" s="1"/>
  <c r="Q93" i="6"/>
  <c r="S93" i="6" s="1"/>
  <c r="Q94" i="6"/>
  <c r="S94" i="6" s="1"/>
  <c r="Q95" i="6"/>
  <c r="R95" i="6" s="1"/>
  <c r="Q96" i="6"/>
  <c r="S96" i="6" s="1"/>
  <c r="Q97" i="6"/>
  <c r="S97" i="6" s="1"/>
  <c r="Q98" i="6"/>
  <c r="S98" i="6" s="1"/>
  <c r="Q99" i="6"/>
  <c r="R99" i="6" s="1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65" i="10"/>
  <c r="M66" i="10"/>
  <c r="M67" i="10"/>
  <c r="M68" i="10"/>
  <c r="M69" i="10"/>
  <c r="M70" i="10"/>
  <c r="M71" i="10"/>
  <c r="M72" i="10"/>
  <c r="M73" i="10"/>
  <c r="M74" i="10"/>
  <c r="M75" i="10"/>
  <c r="M76" i="10"/>
  <c r="M77" i="10"/>
  <c r="M78" i="10"/>
  <c r="M79" i="10"/>
  <c r="M80" i="10"/>
  <c r="M81" i="10"/>
  <c r="M82" i="10"/>
  <c r="M83" i="10"/>
  <c r="M84" i="10"/>
  <c r="M85" i="10"/>
  <c r="M86" i="10"/>
  <c r="M87" i="10"/>
  <c r="M88" i="10"/>
  <c r="M89" i="10"/>
  <c r="M90" i="10"/>
  <c r="M91" i="10"/>
  <c r="M92" i="10"/>
  <c r="M93" i="10"/>
  <c r="M94" i="10"/>
  <c r="M95" i="10"/>
  <c r="M96" i="10"/>
  <c r="M97" i="10"/>
  <c r="M98" i="10"/>
  <c r="M99" i="10"/>
  <c r="M100" i="10"/>
  <c r="M101" i="10"/>
  <c r="M102" i="10"/>
  <c r="M103" i="10"/>
  <c r="M104" i="10"/>
  <c r="M105" i="10"/>
  <c r="M106" i="10"/>
  <c r="M107" i="10"/>
  <c r="M108" i="10"/>
  <c r="M109" i="10"/>
  <c r="M110" i="10"/>
  <c r="M111" i="10"/>
  <c r="M112" i="10"/>
  <c r="M113" i="10"/>
  <c r="M114" i="10"/>
  <c r="M115" i="10"/>
  <c r="M116" i="10"/>
  <c r="M117" i="10"/>
  <c r="M118" i="10"/>
  <c r="M119" i="10"/>
  <c r="M120" i="10"/>
  <c r="M121" i="10"/>
  <c r="M122" i="10"/>
  <c r="M123" i="10"/>
  <c r="M124" i="10"/>
  <c r="M125" i="10"/>
  <c r="M126" i="10"/>
  <c r="M127" i="10"/>
  <c r="M128" i="10"/>
  <c r="M129" i="10"/>
  <c r="M130" i="10"/>
  <c r="M131" i="10"/>
  <c r="M132" i="10"/>
  <c r="M133" i="10"/>
  <c r="M134" i="10"/>
  <c r="M135" i="10"/>
  <c r="M136" i="10"/>
  <c r="M137" i="10"/>
  <c r="M138" i="10"/>
  <c r="M139" i="10"/>
  <c r="M140" i="10"/>
  <c r="M141" i="10"/>
  <c r="M142" i="10"/>
  <c r="M143" i="10"/>
  <c r="M144" i="10"/>
  <c r="M145" i="10"/>
  <c r="M146" i="10"/>
  <c r="M147" i="10"/>
  <c r="M148" i="10"/>
  <c r="M149" i="10"/>
  <c r="M150" i="10"/>
  <c r="M151" i="10"/>
  <c r="M152" i="10"/>
  <c r="M153" i="10"/>
  <c r="M154" i="10"/>
  <c r="M155" i="10"/>
  <c r="M156" i="10"/>
  <c r="M157" i="10"/>
  <c r="M158" i="10"/>
  <c r="M159" i="10"/>
  <c r="M160" i="10"/>
  <c r="M161" i="10"/>
  <c r="M162" i="10"/>
  <c r="M163" i="10"/>
  <c r="M164" i="10"/>
  <c r="M165" i="10"/>
  <c r="M166" i="10"/>
  <c r="M167" i="10"/>
  <c r="M168" i="10"/>
  <c r="M169" i="10"/>
  <c r="M170" i="10"/>
  <c r="M171" i="10"/>
  <c r="M172" i="10"/>
  <c r="M173" i="10"/>
  <c r="M174" i="10"/>
  <c r="M175" i="10"/>
  <c r="M176" i="10"/>
  <c r="M177" i="10"/>
  <c r="P41" i="10"/>
  <c r="P42" i="10"/>
  <c r="P43" i="10"/>
  <c r="P44" i="10"/>
  <c r="P45" i="10"/>
  <c r="P46" i="10"/>
  <c r="P47" i="10"/>
  <c r="P48" i="10"/>
  <c r="P49" i="10"/>
  <c r="P50" i="10"/>
  <c r="P51" i="10"/>
  <c r="P52" i="10"/>
  <c r="P53" i="10"/>
  <c r="P54" i="10"/>
  <c r="P55" i="10"/>
  <c r="P56" i="10"/>
  <c r="P57" i="10"/>
  <c r="P58" i="10"/>
  <c r="P59" i="10"/>
  <c r="P60" i="10"/>
  <c r="P61" i="10"/>
  <c r="P62" i="10"/>
  <c r="P63" i="10"/>
  <c r="P64" i="10"/>
  <c r="P65" i="10"/>
  <c r="P66" i="10"/>
  <c r="P67" i="10"/>
  <c r="P68" i="10"/>
  <c r="P69" i="10"/>
  <c r="P70" i="10"/>
  <c r="P71" i="10"/>
  <c r="P72" i="10"/>
  <c r="P73" i="10"/>
  <c r="P74" i="10"/>
  <c r="P75" i="10"/>
  <c r="P76" i="10"/>
  <c r="P77" i="10"/>
  <c r="P78" i="10"/>
  <c r="P79" i="10"/>
  <c r="P80" i="10"/>
  <c r="P81" i="10"/>
  <c r="P82" i="10"/>
  <c r="P83" i="10"/>
  <c r="P84" i="10"/>
  <c r="P85" i="10"/>
  <c r="P86" i="10"/>
  <c r="P87" i="10"/>
  <c r="P88" i="10"/>
  <c r="P89" i="10"/>
  <c r="P90" i="10"/>
  <c r="P91" i="10"/>
  <c r="P92" i="10"/>
  <c r="P93" i="10"/>
  <c r="P94" i="10"/>
  <c r="P95" i="10"/>
  <c r="P96" i="10"/>
  <c r="P97" i="10"/>
  <c r="P98" i="10"/>
  <c r="P99" i="10"/>
  <c r="P100" i="10"/>
  <c r="P101" i="10"/>
  <c r="P102" i="10"/>
  <c r="P103" i="10"/>
  <c r="P104" i="10"/>
  <c r="P105" i="10"/>
  <c r="P106" i="10"/>
  <c r="P107" i="10"/>
  <c r="P108" i="10"/>
  <c r="P109" i="10"/>
  <c r="P110" i="10"/>
  <c r="P111" i="10"/>
  <c r="P112" i="10"/>
  <c r="P113" i="10"/>
  <c r="P114" i="10"/>
  <c r="P115" i="10"/>
  <c r="P116" i="10"/>
  <c r="P117" i="10"/>
  <c r="P118" i="10"/>
  <c r="P119" i="10"/>
  <c r="P120" i="10"/>
  <c r="P121" i="10"/>
  <c r="P122" i="10"/>
  <c r="P123" i="10"/>
  <c r="P51" i="6"/>
  <c r="P52" i="6"/>
  <c r="P53" i="6"/>
  <c r="P54" i="6"/>
  <c r="P55" i="6"/>
  <c r="P56" i="6"/>
  <c r="P57" i="6"/>
  <c r="P58" i="6"/>
  <c r="P59" i="6"/>
  <c r="P60" i="6"/>
  <c r="P61" i="6"/>
  <c r="P62" i="6"/>
  <c r="P63" i="6"/>
  <c r="P64" i="6"/>
  <c r="P65" i="6"/>
  <c r="P66" i="6"/>
  <c r="P67" i="6"/>
  <c r="P68" i="6"/>
  <c r="P69" i="6"/>
  <c r="P70" i="6"/>
  <c r="P71" i="6"/>
  <c r="P72" i="6"/>
  <c r="P73" i="6"/>
  <c r="P74" i="6"/>
  <c r="P75" i="6"/>
  <c r="P76" i="6"/>
  <c r="P77" i="6"/>
  <c r="P78" i="6"/>
  <c r="P79" i="6"/>
  <c r="P80" i="6"/>
  <c r="P81" i="6"/>
  <c r="P82" i="6"/>
  <c r="P83" i="6"/>
  <c r="P84" i="6"/>
  <c r="P85" i="6"/>
  <c r="P86" i="6"/>
  <c r="P87" i="6"/>
  <c r="P88" i="6"/>
  <c r="P89" i="6"/>
  <c r="P90" i="6"/>
  <c r="P91" i="6"/>
  <c r="P92" i="6"/>
  <c r="P93" i="6"/>
  <c r="P94" i="6"/>
  <c r="P95" i="6"/>
  <c r="P96" i="6"/>
  <c r="P97" i="6"/>
  <c r="P98" i="6"/>
  <c r="P99" i="6"/>
  <c r="O51" i="6"/>
  <c r="O52" i="6"/>
  <c r="O53" i="6"/>
  <c r="O54" i="6"/>
  <c r="O55" i="6"/>
  <c r="O56" i="6"/>
  <c r="O57" i="6"/>
  <c r="O58" i="6"/>
  <c r="O59" i="6"/>
  <c r="O60" i="6"/>
  <c r="O61" i="6"/>
  <c r="O62" i="6"/>
  <c r="O63" i="6"/>
  <c r="O64" i="6"/>
  <c r="O65" i="6"/>
  <c r="O66" i="6"/>
  <c r="O67" i="6"/>
  <c r="O68" i="6"/>
  <c r="O69" i="6"/>
  <c r="O70" i="6"/>
  <c r="O71" i="6"/>
  <c r="O72" i="6"/>
  <c r="O73" i="6"/>
  <c r="O74" i="6"/>
  <c r="O75" i="6"/>
  <c r="O76" i="6"/>
  <c r="O77" i="6"/>
  <c r="O78" i="6"/>
  <c r="O79" i="6"/>
  <c r="O80" i="6"/>
  <c r="O81" i="6"/>
  <c r="O82" i="6"/>
  <c r="O83" i="6"/>
  <c r="O84" i="6"/>
  <c r="O85" i="6"/>
  <c r="O86" i="6"/>
  <c r="O87" i="6"/>
  <c r="O88" i="6"/>
  <c r="O89" i="6"/>
  <c r="O90" i="6"/>
  <c r="O91" i="6"/>
  <c r="O92" i="6"/>
  <c r="O93" i="6"/>
  <c r="O94" i="6"/>
  <c r="O95" i="6"/>
  <c r="O96" i="6"/>
  <c r="O97" i="6"/>
  <c r="O98" i="6"/>
  <c r="O99" i="6"/>
  <c r="N51" i="6"/>
  <c r="N52" i="6"/>
  <c r="N53" i="6"/>
  <c r="N54" i="6"/>
  <c r="N55" i="6"/>
  <c r="N56" i="6"/>
  <c r="N57" i="6"/>
  <c r="N58" i="6"/>
  <c r="N59" i="6"/>
  <c r="N60" i="6"/>
  <c r="N61" i="6"/>
  <c r="N62" i="6"/>
  <c r="N63" i="6"/>
  <c r="N64" i="6"/>
  <c r="N65" i="6"/>
  <c r="N66" i="6"/>
  <c r="N67" i="6"/>
  <c r="N68" i="6"/>
  <c r="N69" i="6"/>
  <c r="N70" i="6"/>
  <c r="N71" i="6"/>
  <c r="N72" i="6"/>
  <c r="N73" i="6"/>
  <c r="N74" i="6"/>
  <c r="N75" i="6"/>
  <c r="N76" i="6"/>
  <c r="N77" i="6"/>
  <c r="N78" i="6"/>
  <c r="N79" i="6"/>
  <c r="N80" i="6"/>
  <c r="N81" i="6"/>
  <c r="N82" i="6"/>
  <c r="N83" i="6"/>
  <c r="N84" i="6"/>
  <c r="N85" i="6"/>
  <c r="N86" i="6"/>
  <c r="N87" i="6"/>
  <c r="N88" i="6"/>
  <c r="N89" i="6"/>
  <c r="N90" i="6"/>
  <c r="N91" i="6"/>
  <c r="N92" i="6"/>
  <c r="N93" i="6"/>
  <c r="N94" i="6"/>
  <c r="N95" i="6"/>
  <c r="N96" i="6"/>
  <c r="N97" i="6"/>
  <c r="N98" i="6"/>
  <c r="N99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86" i="6"/>
  <c r="K87" i="6"/>
  <c r="K88" i="6"/>
  <c r="K89" i="6"/>
  <c r="K90" i="6"/>
  <c r="K91" i="6"/>
  <c r="K92" i="6"/>
  <c r="K93" i="6"/>
  <c r="K94" i="6"/>
  <c r="K95" i="6"/>
  <c r="K96" i="6"/>
  <c r="K97" i="6"/>
  <c r="K98" i="6"/>
  <c r="K99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I51" i="6" a="1"/>
  <c r="I51" i="6" s="1"/>
  <c r="I52" i="6" a="1"/>
  <c r="I52" i="6" s="1"/>
  <c r="I53" i="6" a="1"/>
  <c r="I53" i="6" s="1"/>
  <c r="I54" i="6" a="1"/>
  <c r="I54" i="6" s="1"/>
  <c r="I55" i="6" a="1"/>
  <c r="I55" i="6" s="1"/>
  <c r="I56" i="6" a="1"/>
  <c r="I56" i="6" s="1"/>
  <c r="I57" i="6" a="1"/>
  <c r="I57" i="6" s="1"/>
  <c r="I58" i="6" a="1"/>
  <c r="I58" i="6" s="1"/>
  <c r="I59" i="6" a="1"/>
  <c r="I59" i="6" s="1"/>
  <c r="I60" i="6" a="1"/>
  <c r="I60" i="6" s="1"/>
  <c r="I61" i="6" a="1"/>
  <c r="I61" i="6" s="1"/>
  <c r="I62" i="6" a="1"/>
  <c r="I62" i="6" s="1"/>
  <c r="I63" i="6" a="1"/>
  <c r="I63" i="6" s="1"/>
  <c r="I64" i="6" a="1"/>
  <c r="I64" i="6" s="1"/>
  <c r="I65" i="6" a="1"/>
  <c r="I65" i="6" s="1"/>
  <c r="I66" i="6" a="1"/>
  <c r="I66" i="6" s="1"/>
  <c r="I67" i="6" a="1"/>
  <c r="I67" i="6" s="1"/>
  <c r="I68" i="6" a="1"/>
  <c r="I68" i="6" s="1"/>
  <c r="I69" i="6" a="1"/>
  <c r="I69" i="6" s="1"/>
  <c r="I70" i="6" a="1"/>
  <c r="I70" i="6" s="1"/>
  <c r="I71" i="6" a="1"/>
  <c r="I71" i="6" s="1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L41" i="10"/>
  <c r="L42" i="10"/>
  <c r="L43" i="10"/>
  <c r="L44" i="10"/>
  <c r="L45" i="10"/>
  <c r="L46" i="10"/>
  <c r="L47" i="10"/>
  <c r="L48" i="10"/>
  <c r="L49" i="10"/>
  <c r="L50" i="10"/>
  <c r="L51" i="10"/>
  <c r="L52" i="10"/>
  <c r="L53" i="10"/>
  <c r="L54" i="10"/>
  <c r="L55" i="10"/>
  <c r="L56" i="10"/>
  <c r="L57" i="10"/>
  <c r="L58" i="10"/>
  <c r="L59" i="10"/>
  <c r="L60" i="10"/>
  <c r="L61" i="10"/>
  <c r="L62" i="10"/>
  <c r="L63" i="10"/>
  <c r="L64" i="10"/>
  <c r="L65" i="10"/>
  <c r="L66" i="10"/>
  <c r="L67" i="10"/>
  <c r="L68" i="10"/>
  <c r="L69" i="10"/>
  <c r="L70" i="10"/>
  <c r="L71" i="10"/>
  <c r="L72" i="10"/>
  <c r="L73" i="10"/>
  <c r="L74" i="10"/>
  <c r="L75" i="10"/>
  <c r="L76" i="10"/>
  <c r="L77" i="10"/>
  <c r="L78" i="10"/>
  <c r="L79" i="10"/>
  <c r="L80" i="10"/>
  <c r="L81" i="10"/>
  <c r="L82" i="10"/>
  <c r="L83" i="10"/>
  <c r="L84" i="10"/>
  <c r="L85" i="10"/>
  <c r="L86" i="10"/>
  <c r="L87" i="10"/>
  <c r="L88" i="10"/>
  <c r="L89" i="10"/>
  <c r="L90" i="10"/>
  <c r="L91" i="10"/>
  <c r="L92" i="10"/>
  <c r="L93" i="10"/>
  <c r="L94" i="10"/>
  <c r="L95" i="10"/>
  <c r="L96" i="10"/>
  <c r="L97" i="10"/>
  <c r="L98" i="10"/>
  <c r="L99" i="10"/>
  <c r="L100" i="10"/>
  <c r="L101" i="10"/>
  <c r="L102" i="10"/>
  <c r="L103" i="10"/>
  <c r="L104" i="10"/>
  <c r="L105" i="10"/>
  <c r="L106" i="10"/>
  <c r="L107" i="10"/>
  <c r="L108" i="10"/>
  <c r="L109" i="10"/>
  <c r="L110" i="10"/>
  <c r="L111" i="10"/>
  <c r="L112" i="10"/>
  <c r="L113" i="10"/>
  <c r="L114" i="10"/>
  <c r="L115" i="10"/>
  <c r="L116" i="10"/>
  <c r="L117" i="10"/>
  <c r="L118" i="10"/>
  <c r="L119" i="10"/>
  <c r="L120" i="10"/>
  <c r="L121" i="10"/>
  <c r="L122" i="10"/>
  <c r="L123" i="10"/>
  <c r="I41" i="10"/>
  <c r="I42" i="10"/>
  <c r="I43" i="10"/>
  <c r="I44" i="10"/>
  <c r="I45" i="10"/>
  <c r="I46" i="10"/>
  <c r="I47" i="10"/>
  <c r="I48" i="10"/>
  <c r="I49" i="10"/>
  <c r="I50" i="10"/>
  <c r="I51" i="10"/>
  <c r="I52" i="10"/>
  <c r="I53" i="10"/>
  <c r="I54" i="10"/>
  <c r="I55" i="10"/>
  <c r="I56" i="10"/>
  <c r="I57" i="10"/>
  <c r="I58" i="10"/>
  <c r="I59" i="10"/>
  <c r="I60" i="10"/>
  <c r="I61" i="10"/>
  <c r="I62" i="10"/>
  <c r="I63" i="10"/>
  <c r="I64" i="10"/>
  <c r="I65" i="10"/>
  <c r="I66" i="10"/>
  <c r="I67" i="10"/>
  <c r="I68" i="10"/>
  <c r="I69" i="10"/>
  <c r="I70" i="10"/>
  <c r="I71" i="10"/>
  <c r="I72" i="10"/>
  <c r="I73" i="10"/>
  <c r="I74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I88" i="10"/>
  <c r="I89" i="10"/>
  <c r="I90" i="10"/>
  <c r="I91" i="10"/>
  <c r="I92" i="10"/>
  <c r="I93" i="10"/>
  <c r="I94" i="10"/>
  <c r="I95" i="10"/>
  <c r="I96" i="10"/>
  <c r="I97" i="10"/>
  <c r="I98" i="10"/>
  <c r="I99" i="10"/>
  <c r="I100" i="10"/>
  <c r="I101" i="10"/>
  <c r="I102" i="10"/>
  <c r="I103" i="10"/>
  <c r="I104" i="10"/>
  <c r="I105" i="10"/>
  <c r="I106" i="10"/>
  <c r="I107" i="10"/>
  <c r="I108" i="10"/>
  <c r="I109" i="10"/>
  <c r="I110" i="10"/>
  <c r="I111" i="10"/>
  <c r="I112" i="10"/>
  <c r="I113" i="10"/>
  <c r="I114" i="10"/>
  <c r="I115" i="10"/>
  <c r="I116" i="10"/>
  <c r="I117" i="10"/>
  <c r="I118" i="10"/>
  <c r="I119" i="10"/>
  <c r="I120" i="10"/>
  <c r="I121" i="10"/>
  <c r="I122" i="10"/>
  <c r="I123" i="10"/>
  <c r="K41" i="10"/>
  <c r="K42" i="10"/>
  <c r="K43" i="10"/>
  <c r="K44" i="10"/>
  <c r="K45" i="10"/>
  <c r="K46" i="10"/>
  <c r="K47" i="10"/>
  <c r="K48" i="10"/>
  <c r="K49" i="10"/>
  <c r="K50" i="10"/>
  <c r="K51" i="10"/>
  <c r="K52" i="10"/>
  <c r="K53" i="10"/>
  <c r="K54" i="10"/>
  <c r="K55" i="10"/>
  <c r="K56" i="10"/>
  <c r="K57" i="10"/>
  <c r="K58" i="10"/>
  <c r="K59" i="10"/>
  <c r="K60" i="10"/>
  <c r="K61" i="10"/>
  <c r="K62" i="10"/>
  <c r="K63" i="10"/>
  <c r="K64" i="10"/>
  <c r="K65" i="10"/>
  <c r="K66" i="10"/>
  <c r="K67" i="10"/>
  <c r="K68" i="10"/>
  <c r="K69" i="10"/>
  <c r="K70" i="10"/>
  <c r="K71" i="10"/>
  <c r="K72" i="10"/>
  <c r="K73" i="10"/>
  <c r="K74" i="10"/>
  <c r="K75" i="10"/>
  <c r="K76" i="10"/>
  <c r="K77" i="10"/>
  <c r="K78" i="10"/>
  <c r="K79" i="10"/>
  <c r="K80" i="10"/>
  <c r="K81" i="10"/>
  <c r="K82" i="10"/>
  <c r="K83" i="10"/>
  <c r="K84" i="10"/>
  <c r="K85" i="10"/>
  <c r="K86" i="10"/>
  <c r="K87" i="10"/>
  <c r="K88" i="10"/>
  <c r="K89" i="10"/>
  <c r="K90" i="10"/>
  <c r="K91" i="10"/>
  <c r="K92" i="10"/>
  <c r="K93" i="10"/>
  <c r="K94" i="10"/>
  <c r="K95" i="10"/>
  <c r="K96" i="10"/>
  <c r="K97" i="10"/>
  <c r="K98" i="10"/>
  <c r="K99" i="10"/>
  <c r="K100" i="10"/>
  <c r="K101" i="10"/>
  <c r="K102" i="10"/>
  <c r="K103" i="10"/>
  <c r="K104" i="10"/>
  <c r="K105" i="10"/>
  <c r="K106" i="10"/>
  <c r="K107" i="10"/>
  <c r="K108" i="10"/>
  <c r="K109" i="10"/>
  <c r="K110" i="10"/>
  <c r="K111" i="10"/>
  <c r="K112" i="10"/>
  <c r="K113" i="10"/>
  <c r="K114" i="10"/>
  <c r="K115" i="10"/>
  <c r="K116" i="10"/>
  <c r="K117" i="10"/>
  <c r="K118" i="10"/>
  <c r="K119" i="10"/>
  <c r="K120" i="10"/>
  <c r="K121" i="10"/>
  <c r="K122" i="10"/>
  <c r="K123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86" i="10"/>
  <c r="H87" i="10"/>
  <c r="H88" i="10"/>
  <c r="H89" i="10"/>
  <c r="H90" i="10"/>
  <c r="H91" i="10"/>
  <c r="H92" i="10"/>
  <c r="H93" i="10"/>
  <c r="H94" i="10"/>
  <c r="H95" i="10"/>
  <c r="H96" i="10"/>
  <c r="H97" i="10"/>
  <c r="H98" i="10"/>
  <c r="H99" i="10"/>
  <c r="H100" i="10"/>
  <c r="H101" i="10"/>
  <c r="H102" i="10"/>
  <c r="H103" i="10"/>
  <c r="H104" i="10"/>
  <c r="H105" i="10"/>
  <c r="H106" i="10"/>
  <c r="H107" i="10"/>
  <c r="H108" i="10"/>
  <c r="H109" i="10"/>
  <c r="H110" i="10"/>
  <c r="H111" i="10"/>
  <c r="H112" i="10"/>
  <c r="H113" i="10"/>
  <c r="H114" i="10"/>
  <c r="H115" i="10"/>
  <c r="H116" i="10"/>
  <c r="H117" i="10"/>
  <c r="H118" i="10"/>
  <c r="H119" i="10"/>
  <c r="H120" i="10"/>
  <c r="H121" i="10"/>
  <c r="H122" i="10"/>
  <c r="H123" i="10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J10" i="6"/>
  <c r="J9" i="6"/>
  <c r="E22" i="6" l="1" a="1"/>
  <c r="E22" i="6" s="1"/>
  <c r="B9" i="6"/>
  <c r="AC5" i="6"/>
  <c r="AD5" i="6" s="1"/>
  <c r="AD8" i="6"/>
  <c r="AD12" i="6"/>
  <c r="AD16" i="6"/>
  <c r="AD20" i="6"/>
  <c r="AD24" i="6"/>
  <c r="AD7" i="6"/>
  <c r="AD15" i="6"/>
  <c r="AD23" i="6"/>
  <c r="AD9" i="6"/>
  <c r="AD13" i="6"/>
  <c r="AD17" i="6"/>
  <c r="AD21" i="6"/>
  <c r="AD11" i="6"/>
  <c r="AD6" i="6"/>
  <c r="AD10" i="6"/>
  <c r="AD14" i="6"/>
  <c r="AD18" i="6"/>
  <c r="AD22" i="6"/>
  <c r="AD19" i="6"/>
  <c r="L16" i="1"/>
  <c r="K14" i="1"/>
  <c r="L14" i="1" s="1"/>
  <c r="S83" i="6"/>
  <c r="S67" i="6"/>
  <c r="S51" i="6"/>
  <c r="S99" i="6"/>
  <c r="R94" i="6"/>
  <c r="R78" i="6"/>
  <c r="R62" i="6"/>
  <c r="S95" i="6"/>
  <c r="S79" i="6"/>
  <c r="S63" i="6"/>
  <c r="R90" i="6"/>
  <c r="R74" i="6"/>
  <c r="R58" i="6"/>
  <c r="S91" i="6"/>
  <c r="S75" i="6"/>
  <c r="S59" i="6"/>
  <c r="R86" i="6"/>
  <c r="R70" i="6"/>
  <c r="R54" i="6"/>
  <c r="S87" i="6"/>
  <c r="S71" i="6"/>
  <c r="S55" i="6"/>
  <c r="R98" i="6"/>
  <c r="R82" i="6"/>
  <c r="R66" i="6"/>
  <c r="R97" i="6"/>
  <c r="R93" i="6"/>
  <c r="R89" i="6"/>
  <c r="R85" i="6"/>
  <c r="R81" i="6"/>
  <c r="R77" i="6"/>
  <c r="R73" i="6"/>
  <c r="R69" i="6"/>
  <c r="R65" i="6"/>
  <c r="R61" i="6"/>
  <c r="R57" i="6"/>
  <c r="R53" i="6"/>
  <c r="R96" i="6"/>
  <c r="R92" i="6"/>
  <c r="R88" i="6"/>
  <c r="R84" i="6"/>
  <c r="R80" i="6"/>
  <c r="R76" i="6"/>
  <c r="R72" i="6"/>
  <c r="R68" i="6"/>
  <c r="R64" i="6"/>
  <c r="R60" i="6"/>
  <c r="R56" i="6"/>
  <c r="R52" i="6"/>
  <c r="O41" i="10" a="1"/>
  <c r="O41" i="10" s="1"/>
  <c r="O42" i="10" a="1"/>
  <c r="O42" i="10" s="1"/>
  <c r="O43" i="10" a="1"/>
  <c r="O43" i="10" s="1"/>
  <c r="O44" i="10" a="1"/>
  <c r="O44" i="10" s="1"/>
  <c r="O45" i="10" a="1"/>
  <c r="O45" i="10" s="1"/>
  <c r="O46" i="10" a="1"/>
  <c r="O46" i="10" s="1"/>
  <c r="O47" i="10" a="1"/>
  <c r="O47" i="10" s="1"/>
  <c r="O48" i="10" a="1"/>
  <c r="O48" i="10" s="1"/>
  <c r="O49" i="10" a="1"/>
  <c r="O49" i="10" s="1"/>
  <c r="O50" i="10" a="1"/>
  <c r="O50" i="10" s="1"/>
  <c r="O51" i="10" a="1"/>
  <c r="O51" i="10" s="1"/>
  <c r="O52" i="10" a="1"/>
  <c r="O52" i="10" s="1"/>
  <c r="O53" i="10" a="1"/>
  <c r="O53" i="10" s="1"/>
  <c r="O54" i="10" a="1"/>
  <c r="O54" i="10" s="1"/>
  <c r="O55" i="10" a="1"/>
  <c r="O55" i="10" s="1"/>
  <c r="O56" i="10" a="1"/>
  <c r="O56" i="10" s="1"/>
  <c r="O57" i="10" a="1"/>
  <c r="O57" i="10" s="1"/>
  <c r="O58" i="10" a="1"/>
  <c r="O58" i="10" s="1"/>
  <c r="O59" i="10" a="1"/>
  <c r="O59" i="10" s="1"/>
  <c r="O60" i="10" a="1"/>
  <c r="O60" i="10" s="1"/>
  <c r="O61" i="10" a="1"/>
  <c r="O61" i="10" s="1"/>
  <c r="O62" i="10" a="1"/>
  <c r="O62" i="10" s="1"/>
  <c r="O63" i="10" a="1"/>
  <c r="O63" i="10" s="1"/>
  <c r="O64" i="10" a="1"/>
  <c r="O64" i="10" s="1"/>
  <c r="O65" i="10" a="1"/>
  <c r="O65" i="10" s="1"/>
  <c r="O66" i="10" a="1"/>
  <c r="O66" i="10" s="1"/>
  <c r="O67" i="10" a="1"/>
  <c r="O67" i="10" s="1"/>
  <c r="O68" i="10" a="1"/>
  <c r="O68" i="10" s="1"/>
  <c r="O69" i="10" a="1"/>
  <c r="O69" i="10" s="1"/>
  <c r="O70" i="10" a="1"/>
  <c r="O70" i="10" s="1"/>
  <c r="O71" i="10" a="1"/>
  <c r="O71" i="10" s="1"/>
  <c r="O72" i="10" a="1"/>
  <c r="O72" i="10" s="1"/>
  <c r="O73" i="10" a="1"/>
  <c r="O73" i="10" s="1"/>
  <c r="O74" i="10" a="1"/>
  <c r="O74" i="10" s="1"/>
  <c r="O75" i="10" a="1"/>
  <c r="O75" i="10" s="1"/>
  <c r="O76" i="10" a="1"/>
  <c r="O76" i="10" s="1"/>
  <c r="O77" i="10" a="1"/>
  <c r="O77" i="10" s="1"/>
  <c r="O78" i="10" a="1"/>
  <c r="O78" i="10" s="1"/>
  <c r="O79" i="10" a="1"/>
  <c r="O79" i="10" s="1"/>
  <c r="O80" i="10" a="1"/>
  <c r="O80" i="10" s="1"/>
  <c r="O81" i="10" a="1"/>
  <c r="O81" i="10" s="1"/>
  <c r="O82" i="10" a="1"/>
  <c r="O82" i="10" s="1"/>
  <c r="O83" i="10" a="1"/>
  <c r="O83" i="10" s="1"/>
  <c r="O84" i="10" a="1"/>
  <c r="O84" i="10" s="1"/>
  <c r="O85" i="10" a="1"/>
  <c r="O85" i="10" s="1"/>
  <c r="O86" i="10" a="1"/>
  <c r="O86" i="10" s="1"/>
  <c r="O87" i="10" a="1"/>
  <c r="O87" i="10" s="1"/>
  <c r="O88" i="10" a="1"/>
  <c r="O88" i="10" s="1"/>
  <c r="O89" i="10" a="1"/>
  <c r="O89" i="10" s="1"/>
  <c r="O90" i="10" a="1"/>
  <c r="O90" i="10" s="1"/>
  <c r="O91" i="10" a="1"/>
  <c r="O91" i="10" s="1"/>
  <c r="O92" i="10" a="1"/>
  <c r="O92" i="10" s="1"/>
  <c r="O93" i="10" a="1"/>
  <c r="O93" i="10" s="1"/>
  <c r="O94" i="10" a="1"/>
  <c r="O94" i="10" s="1"/>
  <c r="O95" i="10" a="1"/>
  <c r="O95" i="10" s="1"/>
  <c r="O96" i="10" a="1"/>
  <c r="O96" i="10" s="1"/>
  <c r="O97" i="10" a="1"/>
  <c r="O97" i="10" s="1"/>
  <c r="O98" i="10" a="1"/>
  <c r="O98" i="10" s="1"/>
  <c r="O99" i="10" a="1"/>
  <c r="O99" i="10" s="1"/>
  <c r="O100" i="10" a="1"/>
  <c r="O100" i="10" s="1"/>
  <c r="O101" i="10" a="1"/>
  <c r="O101" i="10" s="1"/>
  <c r="O102" i="10" a="1"/>
  <c r="O102" i="10" s="1"/>
  <c r="O103" i="10" a="1"/>
  <c r="O103" i="10" s="1"/>
  <c r="O104" i="10" a="1"/>
  <c r="O104" i="10" s="1"/>
  <c r="O105" i="10" a="1"/>
  <c r="O105" i="10" s="1"/>
  <c r="O106" i="10" a="1"/>
  <c r="O106" i="10" s="1"/>
  <c r="O107" i="10" a="1"/>
  <c r="O107" i="10" s="1"/>
  <c r="O108" i="10" a="1"/>
  <c r="O108" i="10" s="1"/>
  <c r="O109" i="10" a="1"/>
  <c r="O109" i="10" s="1"/>
  <c r="O110" i="10" a="1"/>
  <c r="O110" i="10" s="1"/>
  <c r="O111" i="10" a="1"/>
  <c r="O111" i="10" s="1"/>
  <c r="O112" i="10" a="1"/>
  <c r="O112" i="10" s="1"/>
  <c r="O113" i="10" a="1"/>
  <c r="O113" i="10" s="1"/>
  <c r="O114" i="10" a="1"/>
  <c r="O114" i="10" s="1"/>
  <c r="O115" i="10" a="1"/>
  <c r="O115" i="10" s="1"/>
  <c r="O116" i="10" a="1"/>
  <c r="O116" i="10" s="1"/>
  <c r="O117" i="10" a="1"/>
  <c r="O117" i="10" s="1"/>
  <c r="O118" i="10" a="1"/>
  <c r="O118" i="10" s="1"/>
  <c r="O119" i="10" a="1"/>
  <c r="O119" i="10" s="1"/>
  <c r="O120" i="10" a="1"/>
  <c r="O120" i="10" s="1"/>
  <c r="O121" i="10" a="1"/>
  <c r="O121" i="10" s="1"/>
  <c r="O122" i="10" a="1"/>
  <c r="O122" i="10" s="1"/>
  <c r="O123" i="10" a="1"/>
  <c r="O123" i="10" s="1"/>
  <c r="S41" i="10" a="1"/>
  <c r="S41" i="10" s="1"/>
  <c r="S42" i="10" a="1"/>
  <c r="S42" i="10" s="1"/>
  <c r="S43" i="10" a="1"/>
  <c r="S43" i="10" s="1"/>
  <c r="S44" i="10" a="1"/>
  <c r="S44" i="10" s="1"/>
  <c r="S45" i="10" a="1"/>
  <c r="S45" i="10" s="1"/>
  <c r="S46" i="10" a="1"/>
  <c r="S46" i="10" s="1"/>
  <c r="S47" i="10" a="1"/>
  <c r="S47" i="10" s="1"/>
  <c r="S48" i="10" a="1"/>
  <c r="S48" i="10" s="1"/>
  <c r="S49" i="10" a="1"/>
  <c r="S49" i="10" s="1"/>
  <c r="S50" i="10" a="1"/>
  <c r="S50" i="10" s="1"/>
  <c r="S51" i="10" a="1"/>
  <c r="S51" i="10" s="1"/>
  <c r="S52" i="10" a="1"/>
  <c r="S52" i="10" s="1"/>
  <c r="S53" i="10" a="1"/>
  <c r="S53" i="10" s="1"/>
  <c r="S54" i="10" a="1"/>
  <c r="S54" i="10" s="1"/>
  <c r="S55" i="10" a="1"/>
  <c r="S55" i="10" s="1"/>
  <c r="S56" i="10" a="1"/>
  <c r="S56" i="10" s="1"/>
  <c r="S57" i="10" a="1"/>
  <c r="S57" i="10" s="1"/>
  <c r="S58" i="10" a="1"/>
  <c r="S58" i="10" s="1"/>
  <c r="S59" i="10" a="1"/>
  <c r="S59" i="10" s="1"/>
  <c r="S60" i="10" a="1"/>
  <c r="S60" i="10" s="1"/>
  <c r="S61" i="10" a="1"/>
  <c r="S61" i="10" s="1"/>
  <c r="S62" i="10" a="1"/>
  <c r="S62" i="10" s="1"/>
  <c r="S63" i="10" a="1"/>
  <c r="S63" i="10" s="1"/>
  <c r="S64" i="10" a="1"/>
  <c r="S64" i="10" s="1"/>
  <c r="S65" i="10" a="1"/>
  <c r="S65" i="10" s="1"/>
  <c r="S66" i="10" a="1"/>
  <c r="S66" i="10" s="1"/>
  <c r="S67" i="10" a="1"/>
  <c r="S67" i="10" s="1"/>
  <c r="S68" i="10" a="1"/>
  <c r="S68" i="10" s="1"/>
  <c r="S69" i="10" a="1"/>
  <c r="S69" i="10" s="1"/>
  <c r="S70" i="10" a="1"/>
  <c r="S70" i="10" s="1"/>
  <c r="S71" i="10" a="1"/>
  <c r="S71" i="10" s="1"/>
  <c r="S72" i="10" a="1"/>
  <c r="S72" i="10" s="1"/>
  <c r="S73" i="10" a="1"/>
  <c r="S73" i="10" s="1"/>
  <c r="S74" i="10" a="1"/>
  <c r="S74" i="10" s="1"/>
  <c r="S75" i="10" a="1"/>
  <c r="S75" i="10" s="1"/>
  <c r="S76" i="10" a="1"/>
  <c r="S76" i="10" s="1"/>
  <c r="S77" i="10" a="1"/>
  <c r="S77" i="10" s="1"/>
  <c r="S78" i="10" a="1"/>
  <c r="S78" i="10" s="1"/>
  <c r="S79" i="10" a="1"/>
  <c r="S79" i="10" s="1"/>
  <c r="S80" i="10" a="1"/>
  <c r="S80" i="10" s="1"/>
  <c r="S81" i="10" a="1"/>
  <c r="S81" i="10" s="1"/>
  <c r="S82" i="10" a="1"/>
  <c r="S82" i="10" s="1"/>
  <c r="S83" i="10" a="1"/>
  <c r="S83" i="10" s="1"/>
  <c r="S84" i="10" a="1"/>
  <c r="S84" i="10" s="1"/>
  <c r="S85" i="10" a="1"/>
  <c r="S85" i="10" s="1"/>
  <c r="S86" i="10" a="1"/>
  <c r="S86" i="10" s="1"/>
  <c r="S87" i="10" a="1"/>
  <c r="S87" i="10" s="1"/>
  <c r="S88" i="10" a="1"/>
  <c r="S88" i="10" s="1"/>
  <c r="S89" i="10" a="1"/>
  <c r="S89" i="10" s="1"/>
  <c r="S90" i="10" a="1"/>
  <c r="S90" i="10" s="1"/>
  <c r="S91" i="10" a="1"/>
  <c r="S91" i="10" s="1"/>
  <c r="S92" i="10" a="1"/>
  <c r="S92" i="10" s="1"/>
  <c r="S93" i="10" a="1"/>
  <c r="S93" i="10" s="1"/>
  <c r="S94" i="10" a="1"/>
  <c r="S94" i="10" s="1"/>
  <c r="S95" i="10" a="1"/>
  <c r="S95" i="10" s="1"/>
  <c r="S96" i="10" a="1"/>
  <c r="S96" i="10" s="1"/>
  <c r="S97" i="10" a="1"/>
  <c r="S97" i="10" s="1"/>
  <c r="S98" i="10" a="1"/>
  <c r="S98" i="10" s="1"/>
  <c r="S99" i="10" a="1"/>
  <c r="S99" i="10" s="1"/>
  <c r="S100" i="10" a="1"/>
  <c r="S100" i="10" s="1"/>
  <c r="S101" i="10" a="1"/>
  <c r="S101" i="10" s="1"/>
  <c r="S102" i="10" a="1"/>
  <c r="S102" i="10" s="1"/>
  <c r="S103" i="10" a="1"/>
  <c r="S103" i="10" s="1"/>
  <c r="S104" i="10" a="1"/>
  <c r="S104" i="10" s="1"/>
  <c r="S105" i="10" a="1"/>
  <c r="S105" i="10" s="1"/>
  <c r="S106" i="10" a="1"/>
  <c r="S106" i="10" s="1"/>
  <c r="S107" i="10" a="1"/>
  <c r="S107" i="10" s="1"/>
  <c r="S108" i="10" a="1"/>
  <c r="S108" i="10" s="1"/>
  <c r="S109" i="10" a="1"/>
  <c r="S109" i="10" s="1"/>
  <c r="S110" i="10" a="1"/>
  <c r="S110" i="10" s="1"/>
  <c r="S111" i="10" a="1"/>
  <c r="S111" i="10" s="1"/>
  <c r="S112" i="10" a="1"/>
  <c r="S112" i="10" s="1"/>
  <c r="S113" i="10" a="1"/>
  <c r="S113" i="10" s="1"/>
  <c r="S114" i="10" a="1"/>
  <c r="S114" i="10" s="1"/>
  <c r="S115" i="10" a="1"/>
  <c r="S115" i="10" s="1"/>
  <c r="S116" i="10" a="1"/>
  <c r="S116" i="10" s="1"/>
  <c r="S117" i="10" a="1"/>
  <c r="S117" i="10" s="1"/>
  <c r="S118" i="10" a="1"/>
  <c r="S118" i="10" s="1"/>
  <c r="S119" i="10" a="1"/>
  <c r="S119" i="10" s="1"/>
  <c r="S120" i="10" a="1"/>
  <c r="S120" i="10" s="1"/>
  <c r="S121" i="10" a="1"/>
  <c r="S121" i="10" s="1"/>
  <c r="S122" i="10" a="1"/>
  <c r="S122" i="10" s="1"/>
  <c r="S123" i="10" a="1"/>
  <c r="S123" i="10" s="1"/>
  <c r="U41" i="10"/>
  <c r="U42" i="10"/>
  <c r="U43" i="10"/>
  <c r="U44" i="10"/>
  <c r="U45" i="10"/>
  <c r="U46" i="10"/>
  <c r="U47" i="10"/>
  <c r="U48" i="10"/>
  <c r="U49" i="10"/>
  <c r="U50" i="10"/>
  <c r="U51" i="10"/>
  <c r="U52" i="10"/>
  <c r="U53" i="10"/>
  <c r="U54" i="10"/>
  <c r="U55" i="10"/>
  <c r="U56" i="10"/>
  <c r="U57" i="10"/>
  <c r="U58" i="10"/>
  <c r="U59" i="10"/>
  <c r="U60" i="10"/>
  <c r="U61" i="10"/>
  <c r="U62" i="10"/>
  <c r="U63" i="10"/>
  <c r="U64" i="10"/>
  <c r="U65" i="10"/>
  <c r="U66" i="10"/>
  <c r="U67" i="10"/>
  <c r="U68" i="10"/>
  <c r="U69" i="10"/>
  <c r="U70" i="10"/>
  <c r="U71" i="10"/>
  <c r="U72" i="10"/>
  <c r="U73" i="10"/>
  <c r="U74" i="10"/>
  <c r="U75" i="10"/>
  <c r="U76" i="10"/>
  <c r="U77" i="10"/>
  <c r="U78" i="10"/>
  <c r="U79" i="10"/>
  <c r="U80" i="10"/>
  <c r="U81" i="10"/>
  <c r="U82" i="10"/>
  <c r="U83" i="10"/>
  <c r="U84" i="10"/>
  <c r="U85" i="10"/>
  <c r="U86" i="10"/>
  <c r="U87" i="10"/>
  <c r="U88" i="10"/>
  <c r="U89" i="10"/>
  <c r="U90" i="10"/>
  <c r="U91" i="10"/>
  <c r="U92" i="10"/>
  <c r="U93" i="10"/>
  <c r="U94" i="10"/>
  <c r="U95" i="10"/>
  <c r="U96" i="10"/>
  <c r="U97" i="10"/>
  <c r="U98" i="10"/>
  <c r="U99" i="10"/>
  <c r="U100" i="10"/>
  <c r="U101" i="10"/>
  <c r="U102" i="10"/>
  <c r="U103" i="10"/>
  <c r="U104" i="10"/>
  <c r="U105" i="10"/>
  <c r="U106" i="10"/>
  <c r="U107" i="10"/>
  <c r="U108" i="10"/>
  <c r="U109" i="10"/>
  <c r="U110" i="10"/>
  <c r="U111" i="10"/>
  <c r="U112" i="10"/>
  <c r="U113" i="10"/>
  <c r="U114" i="10"/>
  <c r="U115" i="10"/>
  <c r="U116" i="10"/>
  <c r="U117" i="10"/>
  <c r="U118" i="10"/>
  <c r="U119" i="10"/>
  <c r="U120" i="10"/>
  <c r="U121" i="10"/>
  <c r="U122" i="10"/>
  <c r="U123" i="10"/>
  <c r="T41" i="10"/>
  <c r="T42" i="10"/>
  <c r="T43" i="10"/>
  <c r="T44" i="10"/>
  <c r="T45" i="10"/>
  <c r="T46" i="10"/>
  <c r="T47" i="10"/>
  <c r="T48" i="10"/>
  <c r="T49" i="10"/>
  <c r="T50" i="10"/>
  <c r="T51" i="10"/>
  <c r="T52" i="10"/>
  <c r="T53" i="10"/>
  <c r="T54" i="10"/>
  <c r="T55" i="10"/>
  <c r="T56" i="10"/>
  <c r="T57" i="10"/>
  <c r="T58" i="10"/>
  <c r="T59" i="10"/>
  <c r="T60" i="10"/>
  <c r="T61" i="10"/>
  <c r="T62" i="10"/>
  <c r="T63" i="10"/>
  <c r="T64" i="10"/>
  <c r="T65" i="10"/>
  <c r="T66" i="10"/>
  <c r="T67" i="10"/>
  <c r="T68" i="10"/>
  <c r="T69" i="10"/>
  <c r="T70" i="10"/>
  <c r="T71" i="10"/>
  <c r="T72" i="10"/>
  <c r="T73" i="10"/>
  <c r="T74" i="10"/>
  <c r="T75" i="10"/>
  <c r="T76" i="10"/>
  <c r="T77" i="10"/>
  <c r="T78" i="10"/>
  <c r="T79" i="10"/>
  <c r="T80" i="10"/>
  <c r="T81" i="10"/>
  <c r="T82" i="10"/>
  <c r="T83" i="10"/>
  <c r="T84" i="10"/>
  <c r="T85" i="10"/>
  <c r="T86" i="10"/>
  <c r="T87" i="10"/>
  <c r="T88" i="10"/>
  <c r="T89" i="10"/>
  <c r="T90" i="10"/>
  <c r="T91" i="10"/>
  <c r="T92" i="10"/>
  <c r="T93" i="10"/>
  <c r="T94" i="10"/>
  <c r="T95" i="10"/>
  <c r="T96" i="10"/>
  <c r="T97" i="10"/>
  <c r="T98" i="10"/>
  <c r="T99" i="10"/>
  <c r="T100" i="10"/>
  <c r="T101" i="10"/>
  <c r="T102" i="10"/>
  <c r="T103" i="10"/>
  <c r="T104" i="10"/>
  <c r="T105" i="10"/>
  <c r="T106" i="10"/>
  <c r="T107" i="10"/>
  <c r="T108" i="10"/>
  <c r="T109" i="10"/>
  <c r="T110" i="10"/>
  <c r="T111" i="10"/>
  <c r="T112" i="10"/>
  <c r="T113" i="10"/>
  <c r="T114" i="10"/>
  <c r="T115" i="10"/>
  <c r="T116" i="10"/>
  <c r="T117" i="10"/>
  <c r="T118" i="10"/>
  <c r="T119" i="10"/>
  <c r="T120" i="10"/>
  <c r="T121" i="10"/>
  <c r="T122" i="10"/>
  <c r="T123" i="10"/>
  <c r="R41" i="10" a="1"/>
  <c r="R41" i="10" s="1"/>
  <c r="R42" i="10" a="1"/>
  <c r="R42" i="10" s="1"/>
  <c r="R43" i="10" a="1"/>
  <c r="R43" i="10" s="1"/>
  <c r="R44" i="10" a="1"/>
  <c r="R44" i="10" s="1"/>
  <c r="R45" i="10" a="1"/>
  <c r="R45" i="10" s="1"/>
  <c r="R46" i="10" a="1"/>
  <c r="R46" i="10" s="1"/>
  <c r="R47" i="10" a="1"/>
  <c r="R47" i="10" s="1"/>
  <c r="R48" i="10" a="1"/>
  <c r="R48" i="10" s="1"/>
  <c r="R49" i="10" a="1"/>
  <c r="R49" i="10" s="1"/>
  <c r="R50" i="10" a="1"/>
  <c r="R50" i="10" s="1"/>
  <c r="R51" i="10" a="1"/>
  <c r="R51" i="10" s="1"/>
  <c r="R52" i="10" a="1"/>
  <c r="R52" i="10" s="1"/>
  <c r="R53" i="10" a="1"/>
  <c r="R53" i="10" s="1"/>
  <c r="R54" i="10" a="1"/>
  <c r="R54" i="10" s="1"/>
  <c r="R55" i="10" a="1"/>
  <c r="R55" i="10" s="1"/>
  <c r="R56" i="10" a="1"/>
  <c r="R56" i="10" s="1"/>
  <c r="R57" i="10" a="1"/>
  <c r="R57" i="10" s="1"/>
  <c r="R58" i="10" a="1"/>
  <c r="R58" i="10" s="1"/>
  <c r="R59" i="10" a="1"/>
  <c r="R59" i="10" s="1"/>
  <c r="R60" i="10" a="1"/>
  <c r="R60" i="10" s="1"/>
  <c r="R61" i="10" a="1"/>
  <c r="R61" i="10" s="1"/>
  <c r="R62" i="10" a="1"/>
  <c r="R62" i="10" s="1"/>
  <c r="R63" i="10" a="1"/>
  <c r="R63" i="10" s="1"/>
  <c r="R64" i="10" a="1"/>
  <c r="R64" i="10" s="1"/>
  <c r="R65" i="10" a="1"/>
  <c r="R65" i="10" s="1"/>
  <c r="R66" i="10" a="1"/>
  <c r="R66" i="10" s="1"/>
  <c r="R67" i="10" a="1"/>
  <c r="R67" i="10" s="1"/>
  <c r="R68" i="10" a="1"/>
  <c r="R68" i="10" s="1"/>
  <c r="R69" i="10" a="1"/>
  <c r="R69" i="10" s="1"/>
  <c r="R70" i="10" a="1"/>
  <c r="R70" i="10" s="1"/>
  <c r="R71" i="10" a="1"/>
  <c r="R71" i="10" s="1"/>
  <c r="R72" i="10" a="1"/>
  <c r="R72" i="10" s="1"/>
  <c r="R73" i="10" a="1"/>
  <c r="R73" i="10" s="1"/>
  <c r="R74" i="10" a="1"/>
  <c r="R74" i="10" s="1"/>
  <c r="R75" i="10" a="1"/>
  <c r="R75" i="10" s="1"/>
  <c r="R76" i="10" a="1"/>
  <c r="R76" i="10" s="1"/>
  <c r="R77" i="10" a="1"/>
  <c r="R77" i="10" s="1"/>
  <c r="R78" i="10" a="1"/>
  <c r="R78" i="10" s="1"/>
  <c r="R79" i="10" a="1"/>
  <c r="R79" i="10" s="1"/>
  <c r="R80" i="10" a="1"/>
  <c r="R80" i="10" s="1"/>
  <c r="R81" i="10" a="1"/>
  <c r="R81" i="10" s="1"/>
  <c r="R82" i="10" a="1"/>
  <c r="R82" i="10" s="1"/>
  <c r="R83" i="10" a="1"/>
  <c r="R83" i="10" s="1"/>
  <c r="R84" i="10" a="1"/>
  <c r="R84" i="10" s="1"/>
  <c r="R85" i="10" a="1"/>
  <c r="R85" i="10" s="1"/>
  <c r="R86" i="10" a="1"/>
  <c r="R86" i="10" s="1"/>
  <c r="R87" i="10" a="1"/>
  <c r="R87" i="10" s="1"/>
  <c r="R88" i="10" a="1"/>
  <c r="R88" i="10" s="1"/>
  <c r="R89" i="10" a="1"/>
  <c r="R89" i="10" s="1"/>
  <c r="R90" i="10" a="1"/>
  <c r="R90" i="10" s="1"/>
  <c r="R91" i="10" a="1"/>
  <c r="R91" i="10" s="1"/>
  <c r="R92" i="10" a="1"/>
  <c r="R92" i="10" s="1"/>
  <c r="R93" i="10" a="1"/>
  <c r="R93" i="10" s="1"/>
  <c r="R94" i="10" a="1"/>
  <c r="R94" i="10" s="1"/>
  <c r="R95" i="10" a="1"/>
  <c r="R95" i="10" s="1"/>
  <c r="R96" i="10" a="1"/>
  <c r="R96" i="10" s="1"/>
  <c r="R97" i="10" a="1"/>
  <c r="R97" i="10" s="1"/>
  <c r="R98" i="10" a="1"/>
  <c r="R98" i="10" s="1"/>
  <c r="R99" i="10" a="1"/>
  <c r="R99" i="10" s="1"/>
  <c r="R100" i="10" a="1"/>
  <c r="R100" i="10" s="1"/>
  <c r="R101" i="10" a="1"/>
  <c r="R101" i="10" s="1"/>
  <c r="R102" i="10" a="1"/>
  <c r="R102" i="10" s="1"/>
  <c r="R103" i="10" a="1"/>
  <c r="R103" i="10" s="1"/>
  <c r="R104" i="10" a="1"/>
  <c r="R104" i="10" s="1"/>
  <c r="R105" i="10" a="1"/>
  <c r="R105" i="10" s="1"/>
  <c r="R106" i="10" a="1"/>
  <c r="R106" i="10" s="1"/>
  <c r="R107" i="10" a="1"/>
  <c r="R107" i="10" s="1"/>
  <c r="R108" i="10" a="1"/>
  <c r="R108" i="10" s="1"/>
  <c r="R109" i="10" a="1"/>
  <c r="R109" i="10" s="1"/>
  <c r="R110" i="10" a="1"/>
  <c r="R110" i="10" s="1"/>
  <c r="R111" i="10" a="1"/>
  <c r="R111" i="10" s="1"/>
  <c r="R112" i="10" a="1"/>
  <c r="R112" i="10" s="1"/>
  <c r="R113" i="10" a="1"/>
  <c r="R113" i="10" s="1"/>
  <c r="R114" i="10" a="1"/>
  <c r="R114" i="10" s="1"/>
  <c r="R115" i="10" a="1"/>
  <c r="R115" i="10" s="1"/>
  <c r="R116" i="10" a="1"/>
  <c r="R116" i="10" s="1"/>
  <c r="R117" i="10" a="1"/>
  <c r="R117" i="10" s="1"/>
  <c r="R118" i="10" a="1"/>
  <c r="R118" i="10" s="1"/>
  <c r="R119" i="10" a="1"/>
  <c r="R119" i="10" s="1"/>
  <c r="R120" i="10" a="1"/>
  <c r="R120" i="10" s="1"/>
  <c r="R121" i="10" a="1"/>
  <c r="R121" i="10" s="1"/>
  <c r="R122" i="10" a="1"/>
  <c r="R122" i="10" s="1"/>
  <c r="R123" i="10" a="1"/>
  <c r="R123" i="10" s="1"/>
  <c r="N41" i="10"/>
  <c r="N42" i="10"/>
  <c r="N43" i="10"/>
  <c r="N44" i="10"/>
  <c r="N45" i="10"/>
  <c r="N46" i="10"/>
  <c r="N47" i="10"/>
  <c r="N48" i="10"/>
  <c r="N49" i="10"/>
  <c r="N50" i="10"/>
  <c r="N51" i="10"/>
  <c r="N52" i="10"/>
  <c r="N53" i="10"/>
  <c r="N54" i="10"/>
  <c r="N55" i="10"/>
  <c r="N56" i="10"/>
  <c r="N57" i="10"/>
  <c r="N58" i="10"/>
  <c r="N59" i="10"/>
  <c r="N60" i="10"/>
  <c r="N61" i="10"/>
  <c r="N62" i="10"/>
  <c r="N63" i="10"/>
  <c r="N64" i="10"/>
  <c r="N65" i="10"/>
  <c r="N66" i="10"/>
  <c r="N67" i="10"/>
  <c r="N68" i="10"/>
  <c r="N69" i="10"/>
  <c r="N70" i="10"/>
  <c r="N71" i="10"/>
  <c r="N72" i="10"/>
  <c r="N73" i="10"/>
  <c r="N74" i="10"/>
  <c r="N75" i="10"/>
  <c r="N76" i="10"/>
  <c r="N77" i="10"/>
  <c r="N78" i="10"/>
  <c r="N79" i="10"/>
  <c r="N80" i="10"/>
  <c r="N81" i="10"/>
  <c r="N82" i="10"/>
  <c r="N83" i="10"/>
  <c r="N84" i="10"/>
  <c r="N85" i="10"/>
  <c r="N86" i="10"/>
  <c r="N87" i="10"/>
  <c r="N88" i="10"/>
  <c r="N89" i="10"/>
  <c r="N90" i="10"/>
  <c r="N91" i="10"/>
  <c r="N92" i="10"/>
  <c r="N93" i="10"/>
  <c r="N94" i="10"/>
  <c r="N95" i="10"/>
  <c r="N96" i="10"/>
  <c r="N97" i="10"/>
  <c r="N98" i="10"/>
  <c r="N99" i="10"/>
  <c r="N100" i="10"/>
  <c r="N101" i="10"/>
  <c r="N102" i="10"/>
  <c r="N103" i="10"/>
  <c r="N104" i="10"/>
  <c r="N105" i="10"/>
  <c r="N106" i="10"/>
  <c r="N107" i="10"/>
  <c r="N108" i="10"/>
  <c r="N109" i="10"/>
  <c r="N110" i="10"/>
  <c r="N111" i="10"/>
  <c r="N112" i="10"/>
  <c r="N113" i="10"/>
  <c r="N114" i="10"/>
  <c r="N115" i="10"/>
  <c r="N116" i="10"/>
  <c r="N117" i="10"/>
  <c r="N118" i="10"/>
  <c r="N119" i="10"/>
  <c r="N120" i="10"/>
  <c r="N121" i="10"/>
  <c r="N122" i="10"/>
  <c r="N123" i="10"/>
  <c r="J41" i="10"/>
  <c r="J42" i="10"/>
  <c r="J43" i="10"/>
  <c r="J44" i="10"/>
  <c r="J45" i="10"/>
  <c r="J46" i="10"/>
  <c r="J47" i="10"/>
  <c r="J48" i="10"/>
  <c r="J49" i="10"/>
  <c r="J50" i="10"/>
  <c r="J51" i="10"/>
  <c r="J52" i="10"/>
  <c r="J53" i="10"/>
  <c r="J54" i="10"/>
  <c r="J55" i="10"/>
  <c r="J56" i="10"/>
  <c r="J57" i="10"/>
  <c r="J58" i="10"/>
  <c r="J59" i="10"/>
  <c r="J60" i="10"/>
  <c r="J61" i="10"/>
  <c r="J62" i="10"/>
  <c r="J63" i="10"/>
  <c r="J64" i="10"/>
  <c r="J65" i="10"/>
  <c r="J66" i="10"/>
  <c r="J67" i="10"/>
  <c r="J68" i="10"/>
  <c r="J69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83" i="10"/>
  <c r="J84" i="10"/>
  <c r="J85" i="10"/>
  <c r="J86" i="10"/>
  <c r="J87" i="10"/>
  <c r="J88" i="10"/>
  <c r="J89" i="10"/>
  <c r="J90" i="10"/>
  <c r="J91" i="10"/>
  <c r="J92" i="10"/>
  <c r="J93" i="10"/>
  <c r="J94" i="10"/>
  <c r="J95" i="10"/>
  <c r="J96" i="10"/>
  <c r="J97" i="10"/>
  <c r="J98" i="10"/>
  <c r="J99" i="10"/>
  <c r="J100" i="10"/>
  <c r="J101" i="10"/>
  <c r="J102" i="10"/>
  <c r="J103" i="10"/>
  <c r="J104" i="10"/>
  <c r="J105" i="10"/>
  <c r="J106" i="10"/>
  <c r="J107" i="10"/>
  <c r="J108" i="10"/>
  <c r="J109" i="10"/>
  <c r="J110" i="10"/>
  <c r="J111" i="10"/>
  <c r="J112" i="10"/>
  <c r="J113" i="10"/>
  <c r="J114" i="10"/>
  <c r="J115" i="10"/>
  <c r="J116" i="10"/>
  <c r="J117" i="10"/>
  <c r="J118" i="10"/>
  <c r="J119" i="10"/>
  <c r="J120" i="10"/>
  <c r="J121" i="10"/>
  <c r="J122" i="10"/>
  <c r="J123" i="10"/>
  <c r="F41" i="10" l="1"/>
  <c r="G41" i="10"/>
  <c r="F42" i="10"/>
  <c r="G42" i="10"/>
  <c r="F43" i="10"/>
  <c r="G43" i="10"/>
  <c r="F44" i="10"/>
  <c r="G44" i="10"/>
  <c r="F45" i="10"/>
  <c r="G45" i="10"/>
  <c r="F46" i="10"/>
  <c r="G46" i="10"/>
  <c r="F47" i="10"/>
  <c r="G47" i="10"/>
  <c r="F48" i="10"/>
  <c r="G48" i="10"/>
  <c r="F49" i="10"/>
  <c r="G49" i="10"/>
  <c r="F50" i="10"/>
  <c r="G50" i="10"/>
  <c r="F51" i="10"/>
  <c r="G51" i="10"/>
  <c r="F52" i="10"/>
  <c r="G52" i="10"/>
  <c r="F53" i="10"/>
  <c r="G53" i="10"/>
  <c r="F54" i="10"/>
  <c r="G54" i="10"/>
  <c r="F55" i="10"/>
  <c r="G55" i="10"/>
  <c r="F56" i="10"/>
  <c r="G56" i="10"/>
  <c r="F57" i="10"/>
  <c r="G57" i="10"/>
  <c r="F58" i="10"/>
  <c r="G58" i="10"/>
  <c r="F59" i="10"/>
  <c r="G59" i="10"/>
  <c r="F60" i="10"/>
  <c r="G60" i="10"/>
  <c r="F61" i="10"/>
  <c r="G61" i="10"/>
  <c r="F62" i="10"/>
  <c r="G62" i="10"/>
  <c r="F63" i="10"/>
  <c r="G63" i="10"/>
  <c r="F64" i="10"/>
  <c r="G64" i="10"/>
  <c r="F65" i="10"/>
  <c r="G65" i="10"/>
  <c r="F66" i="10"/>
  <c r="G66" i="10"/>
  <c r="F67" i="10"/>
  <c r="G67" i="10"/>
  <c r="F68" i="10"/>
  <c r="G68" i="10"/>
  <c r="F69" i="10"/>
  <c r="G69" i="10"/>
  <c r="F70" i="10"/>
  <c r="G70" i="10"/>
  <c r="F71" i="10"/>
  <c r="G71" i="10"/>
  <c r="F72" i="10"/>
  <c r="G72" i="10"/>
  <c r="F73" i="10"/>
  <c r="G73" i="10"/>
  <c r="F74" i="10"/>
  <c r="G74" i="10"/>
  <c r="F75" i="10"/>
  <c r="G75" i="10"/>
  <c r="F76" i="10"/>
  <c r="G76" i="10"/>
  <c r="F77" i="10"/>
  <c r="G77" i="10"/>
  <c r="F78" i="10"/>
  <c r="G78" i="10"/>
  <c r="F79" i="10"/>
  <c r="G79" i="10"/>
  <c r="F80" i="10"/>
  <c r="G80" i="10"/>
  <c r="F81" i="10"/>
  <c r="G81" i="10"/>
  <c r="F82" i="10"/>
  <c r="G82" i="10"/>
  <c r="F83" i="10"/>
  <c r="G83" i="10"/>
  <c r="F84" i="10"/>
  <c r="G84" i="10"/>
  <c r="F85" i="10"/>
  <c r="G85" i="10"/>
  <c r="F86" i="10"/>
  <c r="G86" i="10"/>
  <c r="F87" i="10"/>
  <c r="G87" i="10"/>
  <c r="F88" i="10"/>
  <c r="G88" i="10"/>
  <c r="F89" i="10"/>
  <c r="G89" i="10"/>
  <c r="F90" i="10"/>
  <c r="G90" i="10"/>
  <c r="F91" i="10"/>
  <c r="G91" i="10"/>
  <c r="F92" i="10"/>
  <c r="G92" i="10"/>
  <c r="F93" i="10"/>
  <c r="G93" i="10"/>
  <c r="F94" i="10"/>
  <c r="G94" i="10"/>
  <c r="F95" i="10"/>
  <c r="G95" i="10"/>
  <c r="F96" i="10"/>
  <c r="G96" i="10"/>
  <c r="F97" i="10"/>
  <c r="G97" i="10"/>
  <c r="F98" i="10"/>
  <c r="G98" i="10"/>
  <c r="F99" i="10"/>
  <c r="G99" i="10"/>
  <c r="F100" i="10"/>
  <c r="G100" i="10"/>
  <c r="F101" i="10"/>
  <c r="G101" i="10"/>
  <c r="F102" i="10"/>
  <c r="G102" i="10"/>
  <c r="F103" i="10"/>
  <c r="G103" i="10"/>
  <c r="F104" i="10"/>
  <c r="G104" i="10"/>
  <c r="F105" i="10"/>
  <c r="G105" i="10"/>
  <c r="F106" i="10"/>
  <c r="G106" i="10"/>
  <c r="F107" i="10"/>
  <c r="G107" i="10"/>
  <c r="F108" i="10"/>
  <c r="G108" i="10"/>
  <c r="F109" i="10"/>
  <c r="G109" i="10"/>
  <c r="F110" i="10"/>
  <c r="G110" i="10"/>
  <c r="F111" i="10"/>
  <c r="G111" i="10"/>
  <c r="F112" i="10"/>
  <c r="G112" i="10"/>
  <c r="F113" i="10"/>
  <c r="G113" i="10"/>
  <c r="F114" i="10"/>
  <c r="G114" i="10"/>
  <c r="F115" i="10"/>
  <c r="G115" i="10"/>
  <c r="F116" i="10"/>
  <c r="G116" i="10"/>
  <c r="F117" i="10"/>
  <c r="G117" i="10"/>
  <c r="F118" i="10"/>
  <c r="G118" i="10"/>
  <c r="F119" i="10"/>
  <c r="G119" i="10"/>
  <c r="F120" i="10"/>
  <c r="G120" i="10"/>
  <c r="F121" i="10"/>
  <c r="G121" i="10"/>
  <c r="F122" i="10"/>
  <c r="G122" i="10"/>
  <c r="F123" i="10"/>
  <c r="G123" i="10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59" i="7"/>
  <c r="I60" i="7"/>
  <c r="I61" i="7"/>
  <c r="I62" i="7"/>
  <c r="I63" i="7"/>
  <c r="I64" i="7"/>
  <c r="I65" i="7"/>
  <c r="I66" i="7"/>
  <c r="I67" i="7"/>
  <c r="I68" i="7"/>
  <c r="I69" i="7"/>
  <c r="I70" i="7"/>
  <c r="I71" i="7"/>
  <c r="I72" i="7"/>
  <c r="I73" i="7"/>
  <c r="I74" i="7"/>
  <c r="I75" i="7"/>
  <c r="I76" i="7"/>
  <c r="I77" i="7"/>
  <c r="I78" i="7"/>
  <c r="I79" i="7"/>
  <c r="I80" i="7"/>
  <c r="I81" i="7"/>
  <c r="I82" i="7"/>
  <c r="I83" i="7"/>
  <c r="I84" i="7"/>
  <c r="I85" i="7"/>
  <c r="I86" i="7"/>
  <c r="I87" i="7"/>
  <c r="I88" i="7"/>
  <c r="I89" i="7"/>
  <c r="I90" i="7"/>
  <c r="I91" i="7"/>
  <c r="I92" i="7"/>
  <c r="I93" i="7"/>
  <c r="I94" i="7"/>
  <c r="I95" i="7"/>
  <c r="I96" i="7"/>
  <c r="I97" i="7"/>
  <c r="I98" i="7"/>
  <c r="I99" i="7"/>
  <c r="I100" i="7"/>
  <c r="I101" i="7"/>
  <c r="I102" i="7"/>
  <c r="I103" i="7"/>
  <c r="I104" i="7"/>
  <c r="I105" i="7"/>
  <c r="I106" i="7"/>
  <c r="I107" i="7"/>
  <c r="I108" i="7"/>
  <c r="I109" i="7"/>
  <c r="I110" i="7"/>
  <c r="I111" i="7"/>
  <c r="I112" i="7"/>
  <c r="I113" i="7"/>
  <c r="I114" i="7"/>
  <c r="I115" i="7"/>
  <c r="I116" i="7"/>
  <c r="I117" i="7"/>
  <c r="I118" i="7"/>
  <c r="I119" i="7"/>
  <c r="I120" i="7"/>
  <c r="I121" i="7"/>
  <c r="I122" i="7"/>
  <c r="I123" i="7"/>
  <c r="I124" i="7"/>
  <c r="I125" i="7"/>
  <c r="I126" i="7"/>
  <c r="I127" i="7"/>
  <c r="I128" i="7"/>
  <c r="I129" i="7"/>
  <c r="I130" i="7"/>
  <c r="I131" i="7"/>
  <c r="I132" i="7"/>
  <c r="I133" i="7"/>
  <c r="I134" i="7"/>
  <c r="I135" i="7"/>
  <c r="I136" i="7"/>
  <c r="I137" i="7"/>
  <c r="I138" i="7"/>
  <c r="I139" i="7"/>
  <c r="I140" i="7"/>
  <c r="I141" i="7"/>
  <c r="I142" i="7"/>
  <c r="I143" i="7"/>
  <c r="I144" i="7"/>
  <c r="I145" i="7"/>
  <c r="I146" i="7"/>
  <c r="I147" i="7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I162" i="7"/>
  <c r="I163" i="7"/>
  <c r="I164" i="7"/>
  <c r="I165" i="7"/>
  <c r="I166" i="7"/>
  <c r="I167" i="7"/>
  <c r="I168" i="7"/>
  <c r="I169" i="7"/>
  <c r="I170" i="7"/>
  <c r="I171" i="7"/>
  <c r="I172" i="7"/>
  <c r="I173" i="7"/>
  <c r="I174" i="7"/>
  <c r="I175" i="7"/>
  <c r="I176" i="7"/>
  <c r="I177" i="7"/>
  <c r="I178" i="7"/>
  <c r="I179" i="7"/>
  <c r="I180" i="7"/>
  <c r="I181" i="7"/>
  <c r="I182" i="7"/>
  <c r="I183" i="7"/>
  <c r="I184" i="7"/>
  <c r="I185" i="7"/>
  <c r="I186" i="7"/>
  <c r="I187" i="7"/>
  <c r="I188" i="7"/>
  <c r="I189" i="7"/>
  <c r="I190" i="7"/>
  <c r="I191" i="7"/>
  <c r="I192" i="7"/>
  <c r="I193" i="7"/>
  <c r="I194" i="7"/>
  <c r="I195" i="7"/>
  <c r="I196" i="7"/>
  <c r="I197" i="7"/>
  <c r="I198" i="7"/>
  <c r="I199" i="7"/>
  <c r="I200" i="7"/>
  <c r="I201" i="7"/>
  <c r="I202" i="7"/>
  <c r="I203" i="7"/>
  <c r="I204" i="7"/>
  <c r="I205" i="7"/>
  <c r="I206" i="7"/>
  <c r="I207" i="7"/>
  <c r="I208" i="7"/>
  <c r="I209" i="7"/>
  <c r="I210" i="7"/>
  <c r="I211" i="7"/>
  <c r="I212" i="7"/>
  <c r="I213" i="7"/>
  <c r="I214" i="7"/>
  <c r="I215" i="7"/>
  <c r="I216" i="7"/>
  <c r="I217" i="7"/>
  <c r="I218" i="7"/>
  <c r="I219" i="7"/>
  <c r="I220" i="7"/>
  <c r="I221" i="7"/>
  <c r="I222" i="7"/>
  <c r="I223" i="7"/>
  <c r="I224" i="7"/>
  <c r="I225" i="7"/>
  <c r="I226" i="7"/>
  <c r="I227" i="7"/>
  <c r="I228" i="7"/>
  <c r="I229" i="7"/>
  <c r="I230" i="7"/>
  <c r="I231" i="7"/>
  <c r="I232" i="7"/>
  <c r="I233" i="7"/>
  <c r="I234" i="7"/>
  <c r="I235" i="7"/>
  <c r="I236" i="7"/>
  <c r="I237" i="7"/>
  <c r="I238" i="7"/>
  <c r="I239" i="7"/>
  <c r="I240" i="7"/>
  <c r="I241" i="7"/>
  <c r="I242" i="7"/>
  <c r="I243" i="7"/>
  <c r="I244" i="7"/>
  <c r="I245" i="7"/>
  <c r="I246" i="7"/>
  <c r="I247" i="7"/>
  <c r="I248" i="7"/>
  <c r="I249" i="7"/>
  <c r="I250" i="7"/>
  <c r="I251" i="7"/>
  <c r="I252" i="7"/>
  <c r="I253" i="7"/>
  <c r="I254" i="7"/>
  <c r="I255" i="7"/>
  <c r="I256" i="7"/>
  <c r="I257" i="7"/>
  <c r="I258" i="7"/>
  <c r="I259" i="7"/>
  <c r="I260" i="7"/>
  <c r="I261" i="7"/>
  <c r="I262" i="7"/>
  <c r="I263" i="7"/>
  <c r="I264" i="7"/>
  <c r="I265" i="7"/>
  <c r="I266" i="7"/>
  <c r="I267" i="7"/>
  <c r="I268" i="7"/>
  <c r="I269" i="7"/>
  <c r="I270" i="7"/>
  <c r="I271" i="7"/>
  <c r="I272" i="7"/>
  <c r="I273" i="7"/>
  <c r="I274" i="7"/>
  <c r="I275" i="7"/>
  <c r="I276" i="7"/>
  <c r="I277" i="7"/>
  <c r="I278" i="7"/>
  <c r="I279" i="7"/>
  <c r="I280" i="7"/>
  <c r="I281" i="7"/>
  <c r="I282" i="7"/>
  <c r="I283" i="7"/>
  <c r="I284" i="7"/>
  <c r="I285" i="7"/>
  <c r="I286" i="7"/>
  <c r="I287" i="7"/>
  <c r="I288" i="7"/>
  <c r="I289" i="7"/>
  <c r="I290" i="7"/>
  <c r="I291" i="7"/>
  <c r="I292" i="7"/>
  <c r="I293" i="7"/>
  <c r="I294" i="7"/>
  <c r="I295" i="7"/>
  <c r="I296" i="7"/>
  <c r="I297" i="7"/>
  <c r="I298" i="7"/>
  <c r="I299" i="7"/>
  <c r="I300" i="7"/>
  <c r="I301" i="7"/>
  <c r="I302" i="7"/>
  <c r="I303" i="7"/>
  <c r="I304" i="7"/>
  <c r="I305" i="7"/>
  <c r="I306" i="7"/>
  <c r="I307" i="7"/>
  <c r="I308" i="7"/>
  <c r="I309" i="7"/>
  <c r="I310" i="7"/>
  <c r="I311" i="7"/>
  <c r="I312" i="7"/>
  <c r="I313" i="7"/>
  <c r="I314" i="7"/>
  <c r="I315" i="7"/>
  <c r="I316" i="7"/>
  <c r="I317" i="7"/>
  <c r="I318" i="7"/>
  <c r="I319" i="7"/>
  <c r="I320" i="7"/>
  <c r="I321" i="7"/>
  <c r="I322" i="7"/>
  <c r="I323" i="7"/>
  <c r="I324" i="7"/>
  <c r="I325" i="7"/>
  <c r="I326" i="7"/>
  <c r="I327" i="7"/>
  <c r="I328" i="7"/>
  <c r="I329" i="7"/>
  <c r="I330" i="7"/>
  <c r="I331" i="7"/>
  <c r="I332" i="7"/>
  <c r="I333" i="7"/>
  <c r="I334" i="7"/>
  <c r="I335" i="7"/>
  <c r="I336" i="7"/>
  <c r="I337" i="7"/>
  <c r="I338" i="7"/>
  <c r="I339" i="7"/>
  <c r="I340" i="7"/>
  <c r="I341" i="7"/>
  <c r="I342" i="7"/>
  <c r="I343" i="7"/>
  <c r="I344" i="7"/>
  <c r="I345" i="7"/>
  <c r="I346" i="7"/>
  <c r="I347" i="7"/>
  <c r="I348" i="7"/>
  <c r="I349" i="7"/>
  <c r="I350" i="7"/>
  <c r="I351" i="7"/>
  <c r="I352" i="7"/>
  <c r="I353" i="7"/>
  <c r="I354" i="7"/>
  <c r="I355" i="7"/>
  <c r="I356" i="7"/>
  <c r="I357" i="7"/>
  <c r="I358" i="7"/>
  <c r="I359" i="7"/>
  <c r="I360" i="7"/>
  <c r="I361" i="7"/>
  <c r="I362" i="7"/>
  <c r="C45" i="7"/>
  <c r="D45" i="7"/>
  <c r="E45" i="7"/>
  <c r="F45" i="7"/>
  <c r="G45" i="7"/>
  <c r="H45" i="7"/>
  <c r="J45" i="7"/>
  <c r="C46" i="7"/>
  <c r="D46" i="7"/>
  <c r="E46" i="7"/>
  <c r="F46" i="7"/>
  <c r="G46" i="7"/>
  <c r="H46" i="7"/>
  <c r="J46" i="7"/>
  <c r="C47" i="7"/>
  <c r="D47" i="7"/>
  <c r="E47" i="7"/>
  <c r="F47" i="7"/>
  <c r="G47" i="7"/>
  <c r="H47" i="7"/>
  <c r="J47" i="7"/>
  <c r="C48" i="7"/>
  <c r="D48" i="7"/>
  <c r="E48" i="7"/>
  <c r="F48" i="7"/>
  <c r="G48" i="7"/>
  <c r="H48" i="7"/>
  <c r="J48" i="7"/>
  <c r="C49" i="7"/>
  <c r="D49" i="7"/>
  <c r="E49" i="7"/>
  <c r="F49" i="7"/>
  <c r="G49" i="7"/>
  <c r="H49" i="7"/>
  <c r="J49" i="7"/>
  <c r="C50" i="7"/>
  <c r="D50" i="7"/>
  <c r="E50" i="7"/>
  <c r="F50" i="7"/>
  <c r="G50" i="7"/>
  <c r="H50" i="7"/>
  <c r="J50" i="7"/>
  <c r="C51" i="7"/>
  <c r="D51" i="7"/>
  <c r="E51" i="7"/>
  <c r="F51" i="7"/>
  <c r="G51" i="7"/>
  <c r="H51" i="7"/>
  <c r="J51" i="7"/>
  <c r="C52" i="7"/>
  <c r="D52" i="7"/>
  <c r="E52" i="7"/>
  <c r="F52" i="7"/>
  <c r="G52" i="7"/>
  <c r="H52" i="7"/>
  <c r="J52" i="7"/>
  <c r="C53" i="7"/>
  <c r="D53" i="7"/>
  <c r="E53" i="7"/>
  <c r="F53" i="7"/>
  <c r="G53" i="7"/>
  <c r="H53" i="7"/>
  <c r="J53" i="7"/>
  <c r="C54" i="7"/>
  <c r="D54" i="7"/>
  <c r="E54" i="7"/>
  <c r="F54" i="7"/>
  <c r="G54" i="7"/>
  <c r="H54" i="7"/>
  <c r="J54" i="7"/>
  <c r="C55" i="7"/>
  <c r="D55" i="7"/>
  <c r="E55" i="7"/>
  <c r="F55" i="7"/>
  <c r="G55" i="7"/>
  <c r="H55" i="7"/>
  <c r="J55" i="7"/>
  <c r="C56" i="7"/>
  <c r="D56" i="7"/>
  <c r="E56" i="7"/>
  <c r="F56" i="7"/>
  <c r="G56" i="7"/>
  <c r="H56" i="7"/>
  <c r="J56" i="7"/>
  <c r="C57" i="7"/>
  <c r="D57" i="7"/>
  <c r="E57" i="7"/>
  <c r="F57" i="7"/>
  <c r="G57" i="7"/>
  <c r="H57" i="7"/>
  <c r="J57" i="7"/>
  <c r="C58" i="7"/>
  <c r="D58" i="7"/>
  <c r="E58" i="7"/>
  <c r="F58" i="7"/>
  <c r="G58" i="7"/>
  <c r="H58" i="7"/>
  <c r="J58" i="7"/>
  <c r="C59" i="7"/>
  <c r="D59" i="7"/>
  <c r="E59" i="7"/>
  <c r="F59" i="7"/>
  <c r="G59" i="7"/>
  <c r="H59" i="7"/>
  <c r="J59" i="7"/>
  <c r="C60" i="7"/>
  <c r="D60" i="7"/>
  <c r="E60" i="7"/>
  <c r="F60" i="7"/>
  <c r="G60" i="7"/>
  <c r="H60" i="7"/>
  <c r="J60" i="7"/>
  <c r="C61" i="7"/>
  <c r="D61" i="7"/>
  <c r="E61" i="7"/>
  <c r="F61" i="7"/>
  <c r="G61" i="7"/>
  <c r="H61" i="7"/>
  <c r="J61" i="7"/>
  <c r="C62" i="7"/>
  <c r="D62" i="7"/>
  <c r="E62" i="7"/>
  <c r="F62" i="7"/>
  <c r="G62" i="7"/>
  <c r="H62" i="7"/>
  <c r="J62" i="7"/>
  <c r="C63" i="7"/>
  <c r="D63" i="7"/>
  <c r="E63" i="7"/>
  <c r="F63" i="7"/>
  <c r="G63" i="7"/>
  <c r="H63" i="7"/>
  <c r="J63" i="7"/>
  <c r="C64" i="7"/>
  <c r="D64" i="7"/>
  <c r="E64" i="7"/>
  <c r="F64" i="7"/>
  <c r="G64" i="7"/>
  <c r="H64" i="7"/>
  <c r="J64" i="7"/>
  <c r="C65" i="7"/>
  <c r="D65" i="7"/>
  <c r="E65" i="7"/>
  <c r="F65" i="7"/>
  <c r="G65" i="7"/>
  <c r="H65" i="7"/>
  <c r="J65" i="7"/>
  <c r="C66" i="7"/>
  <c r="D66" i="7"/>
  <c r="E66" i="7"/>
  <c r="F66" i="7"/>
  <c r="G66" i="7"/>
  <c r="H66" i="7"/>
  <c r="J66" i="7"/>
  <c r="C67" i="7"/>
  <c r="D67" i="7"/>
  <c r="E67" i="7"/>
  <c r="F67" i="7"/>
  <c r="G67" i="7"/>
  <c r="H67" i="7"/>
  <c r="J67" i="7"/>
  <c r="C68" i="7"/>
  <c r="D68" i="7"/>
  <c r="E68" i="7"/>
  <c r="F68" i="7"/>
  <c r="G68" i="7"/>
  <c r="H68" i="7"/>
  <c r="J68" i="7"/>
  <c r="C69" i="7"/>
  <c r="D69" i="7"/>
  <c r="E69" i="7"/>
  <c r="F69" i="7"/>
  <c r="G69" i="7"/>
  <c r="H69" i="7"/>
  <c r="J69" i="7"/>
  <c r="C70" i="7"/>
  <c r="D70" i="7"/>
  <c r="E70" i="7"/>
  <c r="F70" i="7"/>
  <c r="G70" i="7"/>
  <c r="H70" i="7"/>
  <c r="J70" i="7"/>
  <c r="C71" i="7"/>
  <c r="D71" i="7"/>
  <c r="E71" i="7"/>
  <c r="F71" i="7"/>
  <c r="G71" i="7"/>
  <c r="H71" i="7"/>
  <c r="J71" i="7"/>
  <c r="C72" i="7"/>
  <c r="D72" i="7"/>
  <c r="E72" i="7"/>
  <c r="F72" i="7"/>
  <c r="G72" i="7"/>
  <c r="H72" i="7"/>
  <c r="J72" i="7"/>
  <c r="C73" i="7"/>
  <c r="D73" i="7"/>
  <c r="E73" i="7"/>
  <c r="F73" i="7"/>
  <c r="G73" i="7"/>
  <c r="H73" i="7"/>
  <c r="J73" i="7"/>
  <c r="C74" i="7"/>
  <c r="D74" i="7"/>
  <c r="E74" i="7"/>
  <c r="F74" i="7"/>
  <c r="G74" i="7"/>
  <c r="H74" i="7"/>
  <c r="J74" i="7"/>
  <c r="C75" i="7"/>
  <c r="D75" i="7"/>
  <c r="E75" i="7"/>
  <c r="F75" i="7"/>
  <c r="G75" i="7"/>
  <c r="H75" i="7"/>
  <c r="J75" i="7"/>
  <c r="C76" i="7"/>
  <c r="D76" i="7"/>
  <c r="E76" i="7"/>
  <c r="F76" i="7"/>
  <c r="G76" i="7"/>
  <c r="H76" i="7"/>
  <c r="J76" i="7"/>
  <c r="C77" i="7"/>
  <c r="D77" i="7"/>
  <c r="E77" i="7"/>
  <c r="F77" i="7"/>
  <c r="G77" i="7"/>
  <c r="H77" i="7"/>
  <c r="J77" i="7"/>
  <c r="C78" i="7"/>
  <c r="D78" i="7"/>
  <c r="E78" i="7"/>
  <c r="F78" i="7"/>
  <c r="G78" i="7"/>
  <c r="H78" i="7"/>
  <c r="J78" i="7"/>
  <c r="C79" i="7"/>
  <c r="D79" i="7"/>
  <c r="E79" i="7"/>
  <c r="F79" i="7"/>
  <c r="G79" i="7"/>
  <c r="H79" i="7"/>
  <c r="J79" i="7"/>
  <c r="C80" i="7"/>
  <c r="D80" i="7"/>
  <c r="E80" i="7"/>
  <c r="F80" i="7"/>
  <c r="G80" i="7"/>
  <c r="H80" i="7"/>
  <c r="J80" i="7"/>
  <c r="C81" i="7"/>
  <c r="D81" i="7"/>
  <c r="E81" i="7"/>
  <c r="F81" i="7"/>
  <c r="G81" i="7"/>
  <c r="H81" i="7"/>
  <c r="J81" i="7"/>
  <c r="C82" i="7"/>
  <c r="D82" i="7"/>
  <c r="E82" i="7"/>
  <c r="F82" i="7"/>
  <c r="G82" i="7"/>
  <c r="H82" i="7"/>
  <c r="J82" i="7"/>
  <c r="C83" i="7"/>
  <c r="D83" i="7"/>
  <c r="E83" i="7"/>
  <c r="F83" i="7"/>
  <c r="G83" i="7"/>
  <c r="H83" i="7"/>
  <c r="J83" i="7"/>
  <c r="C84" i="7"/>
  <c r="D84" i="7"/>
  <c r="E84" i="7"/>
  <c r="F84" i="7"/>
  <c r="G84" i="7"/>
  <c r="H84" i="7"/>
  <c r="J84" i="7"/>
  <c r="C85" i="7"/>
  <c r="D85" i="7"/>
  <c r="E85" i="7"/>
  <c r="F85" i="7"/>
  <c r="G85" i="7"/>
  <c r="H85" i="7"/>
  <c r="J85" i="7"/>
  <c r="C86" i="7"/>
  <c r="D86" i="7"/>
  <c r="E86" i="7"/>
  <c r="F86" i="7"/>
  <c r="G86" i="7"/>
  <c r="H86" i="7"/>
  <c r="J86" i="7"/>
  <c r="C87" i="7"/>
  <c r="D87" i="7"/>
  <c r="E87" i="7"/>
  <c r="F87" i="7"/>
  <c r="G87" i="7"/>
  <c r="H87" i="7"/>
  <c r="J87" i="7"/>
  <c r="C88" i="7"/>
  <c r="D88" i="7"/>
  <c r="E88" i="7"/>
  <c r="F88" i="7"/>
  <c r="G88" i="7"/>
  <c r="H88" i="7"/>
  <c r="J88" i="7"/>
  <c r="C89" i="7"/>
  <c r="D89" i="7"/>
  <c r="E89" i="7"/>
  <c r="F89" i="7"/>
  <c r="G89" i="7"/>
  <c r="H89" i="7"/>
  <c r="J89" i="7"/>
  <c r="C90" i="7"/>
  <c r="D90" i="7"/>
  <c r="E90" i="7"/>
  <c r="F90" i="7"/>
  <c r="G90" i="7"/>
  <c r="H90" i="7"/>
  <c r="J90" i="7"/>
  <c r="C91" i="7"/>
  <c r="D91" i="7"/>
  <c r="E91" i="7"/>
  <c r="F91" i="7"/>
  <c r="G91" i="7"/>
  <c r="H91" i="7"/>
  <c r="J91" i="7"/>
  <c r="C92" i="7"/>
  <c r="D92" i="7"/>
  <c r="E92" i="7"/>
  <c r="F92" i="7"/>
  <c r="G92" i="7"/>
  <c r="H92" i="7"/>
  <c r="J92" i="7"/>
  <c r="C93" i="7"/>
  <c r="D93" i="7"/>
  <c r="E93" i="7"/>
  <c r="F93" i="7"/>
  <c r="G93" i="7"/>
  <c r="H93" i="7"/>
  <c r="J93" i="7"/>
  <c r="C94" i="7"/>
  <c r="D94" i="7"/>
  <c r="E94" i="7"/>
  <c r="F94" i="7"/>
  <c r="G94" i="7"/>
  <c r="H94" i="7"/>
  <c r="J94" i="7"/>
  <c r="C95" i="7"/>
  <c r="D95" i="7"/>
  <c r="E95" i="7"/>
  <c r="F95" i="7"/>
  <c r="G95" i="7"/>
  <c r="H95" i="7"/>
  <c r="J95" i="7"/>
  <c r="C96" i="7"/>
  <c r="D96" i="7"/>
  <c r="E96" i="7"/>
  <c r="F96" i="7"/>
  <c r="G96" i="7"/>
  <c r="H96" i="7"/>
  <c r="J96" i="7"/>
  <c r="C97" i="7"/>
  <c r="D97" i="7"/>
  <c r="E97" i="7"/>
  <c r="F97" i="7"/>
  <c r="G97" i="7"/>
  <c r="H97" i="7"/>
  <c r="J97" i="7"/>
  <c r="C98" i="7"/>
  <c r="D98" i="7"/>
  <c r="E98" i="7"/>
  <c r="F98" i="7"/>
  <c r="G98" i="7"/>
  <c r="H98" i="7"/>
  <c r="J98" i="7"/>
  <c r="C99" i="7"/>
  <c r="D99" i="7"/>
  <c r="E99" i="7"/>
  <c r="F99" i="7"/>
  <c r="G99" i="7"/>
  <c r="H99" i="7"/>
  <c r="J99" i="7"/>
  <c r="C100" i="7"/>
  <c r="D100" i="7"/>
  <c r="E100" i="7"/>
  <c r="F100" i="7"/>
  <c r="G100" i="7"/>
  <c r="H100" i="7"/>
  <c r="J100" i="7"/>
  <c r="C101" i="7"/>
  <c r="D101" i="7"/>
  <c r="E101" i="7"/>
  <c r="F101" i="7"/>
  <c r="G101" i="7"/>
  <c r="H101" i="7"/>
  <c r="J101" i="7"/>
  <c r="C102" i="7"/>
  <c r="D102" i="7"/>
  <c r="E102" i="7"/>
  <c r="F102" i="7"/>
  <c r="G102" i="7"/>
  <c r="H102" i="7"/>
  <c r="J102" i="7"/>
  <c r="C103" i="7"/>
  <c r="D103" i="7"/>
  <c r="E103" i="7"/>
  <c r="F103" i="7"/>
  <c r="G103" i="7"/>
  <c r="H103" i="7"/>
  <c r="J103" i="7"/>
  <c r="C104" i="7"/>
  <c r="D104" i="7"/>
  <c r="E104" i="7"/>
  <c r="F104" i="7"/>
  <c r="G104" i="7"/>
  <c r="H104" i="7"/>
  <c r="J104" i="7"/>
  <c r="C105" i="7"/>
  <c r="D105" i="7"/>
  <c r="E105" i="7"/>
  <c r="F105" i="7"/>
  <c r="G105" i="7"/>
  <c r="H105" i="7"/>
  <c r="J105" i="7"/>
  <c r="C106" i="7"/>
  <c r="D106" i="7"/>
  <c r="E106" i="7"/>
  <c r="F106" i="7"/>
  <c r="G106" i="7"/>
  <c r="H106" i="7"/>
  <c r="J106" i="7"/>
  <c r="C107" i="7"/>
  <c r="D107" i="7"/>
  <c r="E107" i="7"/>
  <c r="F107" i="7"/>
  <c r="G107" i="7"/>
  <c r="H107" i="7"/>
  <c r="J107" i="7"/>
  <c r="C108" i="7"/>
  <c r="D108" i="7"/>
  <c r="E108" i="7"/>
  <c r="F108" i="7"/>
  <c r="G108" i="7"/>
  <c r="H108" i="7"/>
  <c r="J108" i="7"/>
  <c r="C109" i="7"/>
  <c r="D109" i="7"/>
  <c r="E109" i="7"/>
  <c r="F109" i="7"/>
  <c r="G109" i="7"/>
  <c r="H109" i="7"/>
  <c r="J109" i="7"/>
  <c r="C110" i="7"/>
  <c r="D110" i="7"/>
  <c r="E110" i="7"/>
  <c r="F110" i="7"/>
  <c r="G110" i="7"/>
  <c r="H110" i="7"/>
  <c r="J110" i="7"/>
  <c r="C111" i="7"/>
  <c r="D111" i="7"/>
  <c r="E111" i="7"/>
  <c r="F111" i="7"/>
  <c r="G111" i="7"/>
  <c r="H111" i="7"/>
  <c r="J111" i="7"/>
  <c r="C112" i="7"/>
  <c r="D112" i="7"/>
  <c r="E112" i="7"/>
  <c r="F112" i="7"/>
  <c r="G112" i="7"/>
  <c r="H112" i="7"/>
  <c r="J112" i="7"/>
  <c r="C113" i="7"/>
  <c r="D113" i="7"/>
  <c r="E113" i="7"/>
  <c r="F113" i="7"/>
  <c r="G113" i="7"/>
  <c r="H113" i="7"/>
  <c r="J113" i="7"/>
  <c r="C114" i="7"/>
  <c r="D114" i="7"/>
  <c r="E114" i="7"/>
  <c r="F114" i="7"/>
  <c r="G114" i="7"/>
  <c r="H114" i="7"/>
  <c r="J114" i="7"/>
  <c r="C115" i="7"/>
  <c r="D115" i="7"/>
  <c r="E115" i="7"/>
  <c r="F115" i="7"/>
  <c r="G115" i="7"/>
  <c r="H115" i="7"/>
  <c r="J115" i="7"/>
  <c r="C116" i="7"/>
  <c r="D116" i="7"/>
  <c r="E116" i="7"/>
  <c r="F116" i="7"/>
  <c r="G116" i="7"/>
  <c r="H116" i="7"/>
  <c r="J116" i="7"/>
  <c r="C117" i="7"/>
  <c r="D117" i="7"/>
  <c r="E117" i="7"/>
  <c r="F117" i="7"/>
  <c r="G117" i="7"/>
  <c r="H117" i="7"/>
  <c r="J117" i="7"/>
  <c r="C118" i="7"/>
  <c r="D118" i="7"/>
  <c r="E118" i="7"/>
  <c r="F118" i="7"/>
  <c r="G118" i="7"/>
  <c r="H118" i="7"/>
  <c r="J118" i="7"/>
  <c r="C119" i="7"/>
  <c r="D119" i="7"/>
  <c r="E119" i="7"/>
  <c r="F119" i="7"/>
  <c r="G119" i="7"/>
  <c r="H119" i="7"/>
  <c r="J119" i="7"/>
  <c r="C120" i="7"/>
  <c r="D120" i="7"/>
  <c r="E120" i="7"/>
  <c r="F120" i="7"/>
  <c r="G120" i="7"/>
  <c r="H120" i="7"/>
  <c r="J120" i="7"/>
  <c r="C121" i="7"/>
  <c r="D121" i="7"/>
  <c r="E121" i="7"/>
  <c r="F121" i="7"/>
  <c r="G121" i="7"/>
  <c r="H121" i="7"/>
  <c r="J121" i="7"/>
  <c r="C122" i="7"/>
  <c r="D122" i="7"/>
  <c r="E122" i="7"/>
  <c r="F122" i="7"/>
  <c r="G122" i="7"/>
  <c r="H122" i="7"/>
  <c r="J122" i="7"/>
  <c r="C123" i="7"/>
  <c r="D123" i="7"/>
  <c r="E123" i="7"/>
  <c r="F123" i="7"/>
  <c r="G123" i="7"/>
  <c r="H123" i="7"/>
  <c r="J123" i="7"/>
  <c r="C124" i="7"/>
  <c r="D124" i="7"/>
  <c r="E124" i="7"/>
  <c r="F124" i="7"/>
  <c r="G124" i="7"/>
  <c r="H124" i="7"/>
  <c r="J124" i="7"/>
  <c r="C125" i="7"/>
  <c r="D125" i="7"/>
  <c r="E125" i="7"/>
  <c r="F125" i="7"/>
  <c r="G125" i="7"/>
  <c r="H125" i="7"/>
  <c r="J125" i="7"/>
  <c r="C126" i="7"/>
  <c r="D126" i="7"/>
  <c r="E126" i="7"/>
  <c r="F126" i="7"/>
  <c r="G126" i="7"/>
  <c r="H126" i="7"/>
  <c r="J126" i="7"/>
  <c r="C127" i="7"/>
  <c r="D127" i="7"/>
  <c r="E127" i="7"/>
  <c r="F127" i="7"/>
  <c r="G127" i="7"/>
  <c r="H127" i="7"/>
  <c r="J127" i="7"/>
  <c r="C128" i="7"/>
  <c r="D128" i="7"/>
  <c r="E128" i="7"/>
  <c r="F128" i="7"/>
  <c r="G128" i="7"/>
  <c r="H128" i="7"/>
  <c r="J128" i="7"/>
  <c r="C129" i="7"/>
  <c r="D129" i="7"/>
  <c r="E129" i="7"/>
  <c r="F129" i="7"/>
  <c r="G129" i="7"/>
  <c r="H129" i="7"/>
  <c r="J129" i="7"/>
  <c r="C130" i="7"/>
  <c r="D130" i="7"/>
  <c r="E130" i="7"/>
  <c r="F130" i="7"/>
  <c r="G130" i="7"/>
  <c r="H130" i="7"/>
  <c r="J130" i="7"/>
  <c r="C131" i="7"/>
  <c r="D131" i="7"/>
  <c r="E131" i="7"/>
  <c r="F131" i="7"/>
  <c r="G131" i="7"/>
  <c r="H131" i="7"/>
  <c r="J131" i="7"/>
  <c r="C132" i="7"/>
  <c r="D132" i="7"/>
  <c r="E132" i="7"/>
  <c r="F132" i="7"/>
  <c r="G132" i="7"/>
  <c r="H132" i="7"/>
  <c r="J132" i="7"/>
  <c r="C133" i="7"/>
  <c r="D133" i="7"/>
  <c r="E133" i="7"/>
  <c r="F133" i="7"/>
  <c r="G133" i="7"/>
  <c r="H133" i="7"/>
  <c r="J133" i="7"/>
  <c r="C134" i="7"/>
  <c r="D134" i="7"/>
  <c r="E134" i="7"/>
  <c r="F134" i="7"/>
  <c r="G134" i="7"/>
  <c r="H134" i="7"/>
  <c r="J134" i="7"/>
  <c r="C135" i="7"/>
  <c r="D135" i="7"/>
  <c r="E135" i="7"/>
  <c r="F135" i="7"/>
  <c r="G135" i="7"/>
  <c r="H135" i="7"/>
  <c r="J135" i="7"/>
  <c r="C136" i="7"/>
  <c r="D136" i="7"/>
  <c r="E136" i="7"/>
  <c r="F136" i="7"/>
  <c r="G136" i="7"/>
  <c r="H136" i="7"/>
  <c r="J136" i="7"/>
  <c r="C137" i="7"/>
  <c r="D137" i="7"/>
  <c r="E137" i="7"/>
  <c r="F137" i="7"/>
  <c r="G137" i="7"/>
  <c r="H137" i="7"/>
  <c r="J137" i="7"/>
  <c r="C138" i="7"/>
  <c r="D138" i="7"/>
  <c r="E138" i="7"/>
  <c r="F138" i="7"/>
  <c r="G138" i="7"/>
  <c r="H138" i="7"/>
  <c r="J138" i="7"/>
  <c r="C139" i="7"/>
  <c r="D139" i="7"/>
  <c r="E139" i="7"/>
  <c r="F139" i="7"/>
  <c r="G139" i="7"/>
  <c r="H139" i="7"/>
  <c r="J139" i="7"/>
  <c r="C140" i="7"/>
  <c r="D140" i="7"/>
  <c r="E140" i="7"/>
  <c r="F140" i="7"/>
  <c r="G140" i="7"/>
  <c r="H140" i="7"/>
  <c r="J140" i="7"/>
  <c r="C141" i="7"/>
  <c r="D141" i="7"/>
  <c r="E141" i="7"/>
  <c r="F141" i="7"/>
  <c r="G141" i="7"/>
  <c r="H141" i="7"/>
  <c r="J141" i="7"/>
  <c r="C142" i="7"/>
  <c r="D142" i="7"/>
  <c r="E142" i="7"/>
  <c r="F142" i="7"/>
  <c r="G142" i="7"/>
  <c r="H142" i="7"/>
  <c r="J142" i="7"/>
  <c r="C143" i="7"/>
  <c r="D143" i="7"/>
  <c r="E143" i="7"/>
  <c r="F143" i="7"/>
  <c r="G143" i="7"/>
  <c r="H143" i="7"/>
  <c r="J143" i="7"/>
  <c r="C144" i="7"/>
  <c r="D144" i="7"/>
  <c r="E144" i="7"/>
  <c r="F144" i="7"/>
  <c r="G144" i="7"/>
  <c r="H144" i="7"/>
  <c r="J144" i="7"/>
  <c r="C145" i="7"/>
  <c r="D145" i="7"/>
  <c r="E145" i="7"/>
  <c r="F145" i="7"/>
  <c r="G145" i="7"/>
  <c r="H145" i="7"/>
  <c r="J145" i="7"/>
  <c r="C146" i="7"/>
  <c r="D146" i="7"/>
  <c r="E146" i="7"/>
  <c r="F146" i="7"/>
  <c r="G146" i="7"/>
  <c r="H146" i="7"/>
  <c r="J146" i="7"/>
  <c r="C147" i="7"/>
  <c r="D147" i="7"/>
  <c r="E147" i="7"/>
  <c r="F147" i="7"/>
  <c r="G147" i="7"/>
  <c r="H147" i="7"/>
  <c r="J147" i="7"/>
  <c r="C148" i="7"/>
  <c r="D148" i="7"/>
  <c r="E148" i="7"/>
  <c r="F148" i="7"/>
  <c r="G148" i="7"/>
  <c r="H148" i="7"/>
  <c r="J148" i="7"/>
  <c r="C149" i="7"/>
  <c r="D149" i="7"/>
  <c r="E149" i="7"/>
  <c r="F149" i="7"/>
  <c r="G149" i="7"/>
  <c r="H149" i="7"/>
  <c r="J149" i="7"/>
  <c r="C150" i="7"/>
  <c r="D150" i="7"/>
  <c r="E150" i="7"/>
  <c r="F150" i="7"/>
  <c r="G150" i="7"/>
  <c r="H150" i="7"/>
  <c r="J150" i="7"/>
  <c r="C151" i="7"/>
  <c r="D151" i="7"/>
  <c r="E151" i="7"/>
  <c r="F151" i="7"/>
  <c r="G151" i="7"/>
  <c r="H151" i="7"/>
  <c r="J151" i="7"/>
  <c r="C152" i="7"/>
  <c r="D152" i="7"/>
  <c r="E152" i="7"/>
  <c r="F152" i="7"/>
  <c r="G152" i="7"/>
  <c r="H152" i="7"/>
  <c r="J152" i="7"/>
  <c r="C153" i="7"/>
  <c r="D153" i="7"/>
  <c r="E153" i="7"/>
  <c r="F153" i="7"/>
  <c r="G153" i="7"/>
  <c r="H153" i="7"/>
  <c r="J153" i="7"/>
  <c r="C154" i="7"/>
  <c r="D154" i="7"/>
  <c r="E154" i="7"/>
  <c r="F154" i="7"/>
  <c r="G154" i="7"/>
  <c r="H154" i="7"/>
  <c r="J154" i="7"/>
  <c r="C155" i="7"/>
  <c r="D155" i="7"/>
  <c r="E155" i="7"/>
  <c r="F155" i="7"/>
  <c r="G155" i="7"/>
  <c r="H155" i="7"/>
  <c r="J155" i="7"/>
  <c r="C156" i="7"/>
  <c r="D156" i="7"/>
  <c r="E156" i="7"/>
  <c r="F156" i="7"/>
  <c r="G156" i="7"/>
  <c r="H156" i="7"/>
  <c r="J156" i="7"/>
  <c r="C157" i="7"/>
  <c r="D157" i="7"/>
  <c r="E157" i="7"/>
  <c r="F157" i="7"/>
  <c r="G157" i="7"/>
  <c r="H157" i="7"/>
  <c r="J157" i="7"/>
  <c r="C158" i="7"/>
  <c r="D158" i="7"/>
  <c r="E158" i="7"/>
  <c r="F158" i="7"/>
  <c r="G158" i="7"/>
  <c r="H158" i="7"/>
  <c r="J158" i="7"/>
  <c r="C159" i="7"/>
  <c r="D159" i="7"/>
  <c r="E159" i="7"/>
  <c r="F159" i="7"/>
  <c r="G159" i="7"/>
  <c r="H159" i="7"/>
  <c r="J159" i="7"/>
  <c r="C160" i="7"/>
  <c r="D160" i="7"/>
  <c r="E160" i="7"/>
  <c r="F160" i="7"/>
  <c r="G160" i="7"/>
  <c r="H160" i="7"/>
  <c r="J160" i="7"/>
  <c r="C161" i="7"/>
  <c r="D161" i="7"/>
  <c r="E161" i="7"/>
  <c r="F161" i="7"/>
  <c r="G161" i="7"/>
  <c r="H161" i="7"/>
  <c r="J161" i="7"/>
  <c r="C162" i="7"/>
  <c r="D162" i="7"/>
  <c r="E162" i="7"/>
  <c r="F162" i="7"/>
  <c r="G162" i="7"/>
  <c r="H162" i="7"/>
  <c r="J162" i="7"/>
  <c r="C163" i="7"/>
  <c r="D163" i="7"/>
  <c r="E163" i="7"/>
  <c r="F163" i="7"/>
  <c r="G163" i="7"/>
  <c r="H163" i="7"/>
  <c r="J163" i="7"/>
  <c r="C164" i="7"/>
  <c r="D164" i="7"/>
  <c r="E164" i="7"/>
  <c r="F164" i="7"/>
  <c r="G164" i="7"/>
  <c r="H164" i="7"/>
  <c r="J164" i="7"/>
  <c r="C165" i="7"/>
  <c r="D165" i="7"/>
  <c r="E165" i="7"/>
  <c r="F165" i="7"/>
  <c r="G165" i="7"/>
  <c r="H165" i="7"/>
  <c r="J165" i="7"/>
  <c r="C166" i="7"/>
  <c r="D166" i="7"/>
  <c r="E166" i="7"/>
  <c r="F166" i="7"/>
  <c r="G166" i="7"/>
  <c r="H166" i="7"/>
  <c r="J166" i="7"/>
  <c r="C167" i="7"/>
  <c r="D167" i="7"/>
  <c r="E167" i="7"/>
  <c r="F167" i="7"/>
  <c r="G167" i="7"/>
  <c r="H167" i="7"/>
  <c r="J167" i="7"/>
  <c r="C168" i="7"/>
  <c r="D168" i="7"/>
  <c r="E168" i="7"/>
  <c r="F168" i="7"/>
  <c r="G168" i="7"/>
  <c r="H168" i="7"/>
  <c r="J168" i="7"/>
  <c r="C169" i="7"/>
  <c r="D169" i="7"/>
  <c r="E169" i="7"/>
  <c r="F169" i="7"/>
  <c r="G169" i="7"/>
  <c r="H169" i="7"/>
  <c r="J169" i="7"/>
  <c r="C170" i="7"/>
  <c r="D170" i="7"/>
  <c r="E170" i="7"/>
  <c r="F170" i="7"/>
  <c r="G170" i="7"/>
  <c r="H170" i="7"/>
  <c r="J170" i="7"/>
  <c r="C171" i="7"/>
  <c r="D171" i="7"/>
  <c r="E171" i="7"/>
  <c r="F171" i="7"/>
  <c r="G171" i="7"/>
  <c r="H171" i="7"/>
  <c r="J171" i="7"/>
  <c r="C172" i="7"/>
  <c r="D172" i="7"/>
  <c r="E172" i="7"/>
  <c r="F172" i="7"/>
  <c r="G172" i="7"/>
  <c r="H172" i="7"/>
  <c r="J172" i="7"/>
  <c r="C173" i="7"/>
  <c r="D173" i="7"/>
  <c r="E173" i="7"/>
  <c r="F173" i="7"/>
  <c r="G173" i="7"/>
  <c r="H173" i="7"/>
  <c r="J173" i="7"/>
  <c r="C174" i="7"/>
  <c r="D174" i="7"/>
  <c r="E174" i="7"/>
  <c r="F174" i="7"/>
  <c r="G174" i="7"/>
  <c r="H174" i="7"/>
  <c r="J174" i="7"/>
  <c r="C175" i="7"/>
  <c r="D175" i="7"/>
  <c r="E175" i="7"/>
  <c r="F175" i="7"/>
  <c r="G175" i="7"/>
  <c r="H175" i="7"/>
  <c r="J175" i="7"/>
  <c r="C176" i="7"/>
  <c r="D176" i="7"/>
  <c r="E176" i="7"/>
  <c r="F176" i="7"/>
  <c r="G176" i="7"/>
  <c r="H176" i="7"/>
  <c r="J176" i="7"/>
  <c r="C177" i="7"/>
  <c r="D177" i="7"/>
  <c r="E177" i="7"/>
  <c r="F177" i="7"/>
  <c r="G177" i="7"/>
  <c r="H177" i="7"/>
  <c r="J177" i="7"/>
  <c r="C178" i="7"/>
  <c r="D178" i="7"/>
  <c r="E178" i="7"/>
  <c r="F178" i="7"/>
  <c r="G178" i="7"/>
  <c r="H178" i="7"/>
  <c r="J178" i="7"/>
  <c r="C179" i="7"/>
  <c r="D179" i="7"/>
  <c r="E179" i="7"/>
  <c r="F179" i="7"/>
  <c r="G179" i="7"/>
  <c r="H179" i="7"/>
  <c r="J179" i="7"/>
  <c r="C180" i="7"/>
  <c r="D180" i="7"/>
  <c r="E180" i="7"/>
  <c r="F180" i="7"/>
  <c r="G180" i="7"/>
  <c r="H180" i="7"/>
  <c r="J180" i="7"/>
  <c r="C181" i="7"/>
  <c r="D181" i="7"/>
  <c r="E181" i="7"/>
  <c r="F181" i="7"/>
  <c r="G181" i="7"/>
  <c r="H181" i="7"/>
  <c r="J181" i="7"/>
  <c r="C182" i="7"/>
  <c r="D182" i="7"/>
  <c r="E182" i="7"/>
  <c r="F182" i="7"/>
  <c r="G182" i="7"/>
  <c r="H182" i="7"/>
  <c r="J182" i="7"/>
  <c r="C183" i="7"/>
  <c r="D183" i="7"/>
  <c r="E183" i="7"/>
  <c r="F183" i="7"/>
  <c r="G183" i="7"/>
  <c r="H183" i="7"/>
  <c r="J183" i="7"/>
  <c r="C184" i="7"/>
  <c r="D184" i="7"/>
  <c r="E184" i="7"/>
  <c r="F184" i="7"/>
  <c r="G184" i="7"/>
  <c r="H184" i="7"/>
  <c r="J184" i="7"/>
  <c r="C185" i="7"/>
  <c r="D185" i="7"/>
  <c r="E185" i="7"/>
  <c r="F185" i="7"/>
  <c r="G185" i="7"/>
  <c r="H185" i="7"/>
  <c r="J185" i="7"/>
  <c r="C186" i="7"/>
  <c r="D186" i="7"/>
  <c r="E186" i="7"/>
  <c r="F186" i="7"/>
  <c r="G186" i="7"/>
  <c r="H186" i="7"/>
  <c r="J186" i="7"/>
  <c r="C187" i="7"/>
  <c r="D187" i="7"/>
  <c r="E187" i="7"/>
  <c r="F187" i="7"/>
  <c r="G187" i="7"/>
  <c r="H187" i="7"/>
  <c r="J187" i="7"/>
  <c r="C188" i="7"/>
  <c r="D188" i="7"/>
  <c r="E188" i="7"/>
  <c r="F188" i="7"/>
  <c r="G188" i="7"/>
  <c r="H188" i="7"/>
  <c r="J188" i="7"/>
  <c r="C189" i="7"/>
  <c r="D189" i="7"/>
  <c r="E189" i="7"/>
  <c r="F189" i="7"/>
  <c r="G189" i="7"/>
  <c r="H189" i="7"/>
  <c r="J189" i="7"/>
  <c r="C190" i="7"/>
  <c r="D190" i="7"/>
  <c r="E190" i="7"/>
  <c r="F190" i="7"/>
  <c r="G190" i="7"/>
  <c r="H190" i="7"/>
  <c r="J190" i="7"/>
  <c r="C191" i="7"/>
  <c r="D191" i="7"/>
  <c r="E191" i="7"/>
  <c r="F191" i="7"/>
  <c r="G191" i="7"/>
  <c r="H191" i="7"/>
  <c r="J191" i="7"/>
  <c r="C192" i="7"/>
  <c r="D192" i="7"/>
  <c r="E192" i="7"/>
  <c r="F192" i="7"/>
  <c r="G192" i="7"/>
  <c r="H192" i="7"/>
  <c r="J192" i="7"/>
  <c r="C193" i="7"/>
  <c r="D193" i="7"/>
  <c r="E193" i="7"/>
  <c r="F193" i="7"/>
  <c r="G193" i="7"/>
  <c r="H193" i="7"/>
  <c r="J193" i="7"/>
  <c r="C194" i="7"/>
  <c r="D194" i="7"/>
  <c r="E194" i="7"/>
  <c r="F194" i="7"/>
  <c r="G194" i="7"/>
  <c r="H194" i="7"/>
  <c r="J194" i="7"/>
  <c r="C195" i="7"/>
  <c r="D195" i="7"/>
  <c r="E195" i="7"/>
  <c r="F195" i="7"/>
  <c r="G195" i="7"/>
  <c r="H195" i="7"/>
  <c r="J195" i="7"/>
  <c r="C196" i="7"/>
  <c r="D196" i="7"/>
  <c r="E196" i="7"/>
  <c r="F196" i="7"/>
  <c r="G196" i="7"/>
  <c r="H196" i="7"/>
  <c r="J196" i="7"/>
  <c r="C197" i="7"/>
  <c r="D197" i="7"/>
  <c r="E197" i="7"/>
  <c r="F197" i="7"/>
  <c r="G197" i="7"/>
  <c r="H197" i="7"/>
  <c r="J197" i="7"/>
  <c r="C198" i="7"/>
  <c r="D198" i="7"/>
  <c r="E198" i="7"/>
  <c r="F198" i="7"/>
  <c r="G198" i="7"/>
  <c r="H198" i="7"/>
  <c r="J198" i="7"/>
  <c r="C199" i="7"/>
  <c r="D199" i="7"/>
  <c r="E199" i="7"/>
  <c r="F199" i="7"/>
  <c r="G199" i="7"/>
  <c r="H199" i="7"/>
  <c r="J199" i="7"/>
  <c r="C200" i="7"/>
  <c r="D200" i="7"/>
  <c r="E200" i="7"/>
  <c r="F200" i="7"/>
  <c r="G200" i="7"/>
  <c r="H200" i="7"/>
  <c r="J200" i="7"/>
  <c r="C201" i="7"/>
  <c r="D201" i="7"/>
  <c r="E201" i="7"/>
  <c r="F201" i="7"/>
  <c r="G201" i="7"/>
  <c r="H201" i="7"/>
  <c r="J201" i="7"/>
  <c r="C202" i="7"/>
  <c r="D202" i="7"/>
  <c r="E202" i="7"/>
  <c r="F202" i="7"/>
  <c r="G202" i="7"/>
  <c r="H202" i="7"/>
  <c r="J202" i="7"/>
  <c r="C203" i="7"/>
  <c r="D203" i="7"/>
  <c r="E203" i="7"/>
  <c r="F203" i="7"/>
  <c r="G203" i="7"/>
  <c r="H203" i="7"/>
  <c r="J203" i="7"/>
  <c r="C204" i="7"/>
  <c r="D204" i="7"/>
  <c r="E204" i="7"/>
  <c r="F204" i="7"/>
  <c r="G204" i="7"/>
  <c r="H204" i="7"/>
  <c r="J204" i="7"/>
  <c r="C205" i="7"/>
  <c r="D205" i="7"/>
  <c r="E205" i="7"/>
  <c r="F205" i="7"/>
  <c r="G205" i="7"/>
  <c r="H205" i="7"/>
  <c r="J205" i="7"/>
  <c r="C206" i="7"/>
  <c r="D206" i="7"/>
  <c r="E206" i="7"/>
  <c r="F206" i="7"/>
  <c r="G206" i="7"/>
  <c r="H206" i="7"/>
  <c r="J206" i="7"/>
  <c r="C207" i="7"/>
  <c r="D207" i="7"/>
  <c r="E207" i="7"/>
  <c r="F207" i="7"/>
  <c r="G207" i="7"/>
  <c r="H207" i="7"/>
  <c r="J207" i="7"/>
  <c r="C208" i="7"/>
  <c r="D208" i="7"/>
  <c r="E208" i="7"/>
  <c r="F208" i="7"/>
  <c r="G208" i="7"/>
  <c r="H208" i="7"/>
  <c r="J208" i="7"/>
  <c r="C209" i="7"/>
  <c r="D209" i="7"/>
  <c r="E209" i="7"/>
  <c r="F209" i="7"/>
  <c r="G209" i="7"/>
  <c r="H209" i="7"/>
  <c r="J209" i="7"/>
  <c r="C210" i="7"/>
  <c r="D210" i="7"/>
  <c r="E210" i="7"/>
  <c r="F210" i="7"/>
  <c r="G210" i="7"/>
  <c r="H210" i="7"/>
  <c r="J210" i="7"/>
  <c r="C211" i="7"/>
  <c r="D211" i="7"/>
  <c r="E211" i="7"/>
  <c r="F211" i="7"/>
  <c r="G211" i="7"/>
  <c r="H211" i="7"/>
  <c r="J211" i="7"/>
  <c r="C212" i="7"/>
  <c r="D212" i="7"/>
  <c r="E212" i="7"/>
  <c r="F212" i="7"/>
  <c r="G212" i="7"/>
  <c r="H212" i="7"/>
  <c r="J212" i="7"/>
  <c r="C213" i="7"/>
  <c r="D213" i="7"/>
  <c r="E213" i="7"/>
  <c r="F213" i="7"/>
  <c r="G213" i="7"/>
  <c r="H213" i="7"/>
  <c r="J213" i="7"/>
  <c r="C214" i="7"/>
  <c r="D214" i="7"/>
  <c r="E214" i="7"/>
  <c r="F214" i="7"/>
  <c r="G214" i="7"/>
  <c r="H214" i="7"/>
  <c r="J214" i="7"/>
  <c r="C215" i="7"/>
  <c r="D215" i="7"/>
  <c r="E215" i="7"/>
  <c r="F215" i="7"/>
  <c r="G215" i="7"/>
  <c r="H215" i="7"/>
  <c r="J215" i="7"/>
  <c r="C216" i="7"/>
  <c r="D216" i="7"/>
  <c r="E216" i="7"/>
  <c r="F216" i="7"/>
  <c r="G216" i="7"/>
  <c r="H216" i="7"/>
  <c r="J216" i="7"/>
  <c r="C217" i="7"/>
  <c r="D217" i="7"/>
  <c r="E217" i="7"/>
  <c r="F217" i="7"/>
  <c r="G217" i="7"/>
  <c r="H217" i="7"/>
  <c r="J217" i="7"/>
  <c r="C218" i="7"/>
  <c r="D218" i="7"/>
  <c r="E218" i="7"/>
  <c r="F218" i="7"/>
  <c r="G218" i="7"/>
  <c r="H218" i="7"/>
  <c r="J218" i="7"/>
  <c r="C219" i="7"/>
  <c r="D219" i="7"/>
  <c r="E219" i="7"/>
  <c r="F219" i="7"/>
  <c r="G219" i="7"/>
  <c r="H219" i="7"/>
  <c r="J219" i="7"/>
  <c r="C220" i="7"/>
  <c r="D220" i="7"/>
  <c r="E220" i="7"/>
  <c r="F220" i="7"/>
  <c r="G220" i="7"/>
  <c r="H220" i="7"/>
  <c r="J220" i="7"/>
  <c r="C221" i="7"/>
  <c r="D221" i="7"/>
  <c r="E221" i="7"/>
  <c r="F221" i="7"/>
  <c r="G221" i="7"/>
  <c r="H221" i="7"/>
  <c r="J221" i="7"/>
  <c r="C222" i="7"/>
  <c r="D222" i="7"/>
  <c r="E222" i="7"/>
  <c r="F222" i="7"/>
  <c r="G222" i="7"/>
  <c r="H222" i="7"/>
  <c r="J222" i="7"/>
  <c r="C223" i="7"/>
  <c r="D223" i="7"/>
  <c r="E223" i="7"/>
  <c r="F223" i="7"/>
  <c r="G223" i="7"/>
  <c r="H223" i="7"/>
  <c r="J223" i="7"/>
  <c r="C224" i="7"/>
  <c r="D224" i="7"/>
  <c r="E224" i="7"/>
  <c r="F224" i="7"/>
  <c r="G224" i="7"/>
  <c r="H224" i="7"/>
  <c r="J224" i="7"/>
  <c r="C225" i="7"/>
  <c r="D225" i="7"/>
  <c r="E225" i="7"/>
  <c r="F225" i="7"/>
  <c r="G225" i="7"/>
  <c r="H225" i="7"/>
  <c r="J225" i="7"/>
  <c r="C226" i="7"/>
  <c r="D226" i="7"/>
  <c r="E226" i="7"/>
  <c r="F226" i="7"/>
  <c r="G226" i="7"/>
  <c r="H226" i="7"/>
  <c r="J226" i="7"/>
  <c r="C227" i="7"/>
  <c r="D227" i="7"/>
  <c r="E227" i="7"/>
  <c r="F227" i="7"/>
  <c r="G227" i="7"/>
  <c r="H227" i="7"/>
  <c r="J227" i="7"/>
  <c r="C228" i="7"/>
  <c r="D228" i="7"/>
  <c r="E228" i="7"/>
  <c r="F228" i="7"/>
  <c r="G228" i="7"/>
  <c r="H228" i="7"/>
  <c r="J228" i="7"/>
  <c r="C229" i="7"/>
  <c r="D229" i="7"/>
  <c r="E229" i="7"/>
  <c r="F229" i="7"/>
  <c r="G229" i="7"/>
  <c r="H229" i="7"/>
  <c r="J229" i="7"/>
  <c r="C230" i="7"/>
  <c r="D230" i="7"/>
  <c r="E230" i="7"/>
  <c r="F230" i="7"/>
  <c r="G230" i="7"/>
  <c r="H230" i="7"/>
  <c r="J230" i="7"/>
  <c r="C231" i="7"/>
  <c r="D231" i="7"/>
  <c r="E231" i="7"/>
  <c r="F231" i="7"/>
  <c r="G231" i="7"/>
  <c r="H231" i="7"/>
  <c r="J231" i="7"/>
  <c r="C232" i="7"/>
  <c r="D232" i="7"/>
  <c r="E232" i="7"/>
  <c r="F232" i="7"/>
  <c r="G232" i="7"/>
  <c r="H232" i="7"/>
  <c r="J232" i="7"/>
  <c r="C233" i="7"/>
  <c r="D233" i="7"/>
  <c r="E233" i="7"/>
  <c r="F233" i="7"/>
  <c r="G233" i="7"/>
  <c r="H233" i="7"/>
  <c r="J233" i="7"/>
  <c r="C234" i="7"/>
  <c r="D234" i="7"/>
  <c r="E234" i="7"/>
  <c r="F234" i="7"/>
  <c r="G234" i="7"/>
  <c r="H234" i="7"/>
  <c r="J234" i="7"/>
  <c r="C235" i="7"/>
  <c r="D235" i="7"/>
  <c r="E235" i="7"/>
  <c r="F235" i="7"/>
  <c r="G235" i="7"/>
  <c r="H235" i="7"/>
  <c r="J235" i="7"/>
  <c r="C236" i="7"/>
  <c r="D236" i="7"/>
  <c r="E236" i="7"/>
  <c r="F236" i="7"/>
  <c r="G236" i="7"/>
  <c r="H236" i="7"/>
  <c r="J236" i="7"/>
  <c r="C237" i="7"/>
  <c r="D237" i="7"/>
  <c r="E237" i="7"/>
  <c r="F237" i="7"/>
  <c r="G237" i="7"/>
  <c r="H237" i="7"/>
  <c r="J237" i="7"/>
  <c r="C238" i="7"/>
  <c r="D238" i="7"/>
  <c r="E238" i="7"/>
  <c r="F238" i="7"/>
  <c r="G238" i="7"/>
  <c r="H238" i="7"/>
  <c r="J238" i="7"/>
  <c r="C239" i="7"/>
  <c r="D239" i="7"/>
  <c r="E239" i="7"/>
  <c r="F239" i="7"/>
  <c r="G239" i="7"/>
  <c r="H239" i="7"/>
  <c r="J239" i="7"/>
  <c r="C240" i="7"/>
  <c r="D240" i="7"/>
  <c r="E240" i="7"/>
  <c r="F240" i="7"/>
  <c r="G240" i="7"/>
  <c r="H240" i="7"/>
  <c r="J240" i="7"/>
  <c r="C241" i="7"/>
  <c r="D241" i="7"/>
  <c r="E241" i="7"/>
  <c r="F241" i="7"/>
  <c r="G241" i="7"/>
  <c r="H241" i="7"/>
  <c r="J241" i="7"/>
  <c r="C242" i="7"/>
  <c r="D242" i="7"/>
  <c r="E242" i="7"/>
  <c r="F242" i="7"/>
  <c r="G242" i="7"/>
  <c r="H242" i="7"/>
  <c r="J242" i="7"/>
  <c r="C243" i="7"/>
  <c r="D243" i="7"/>
  <c r="E243" i="7"/>
  <c r="F243" i="7"/>
  <c r="G243" i="7"/>
  <c r="H243" i="7"/>
  <c r="J243" i="7"/>
  <c r="C244" i="7"/>
  <c r="D244" i="7"/>
  <c r="E244" i="7"/>
  <c r="F244" i="7"/>
  <c r="G244" i="7"/>
  <c r="H244" i="7"/>
  <c r="J244" i="7"/>
  <c r="C245" i="7"/>
  <c r="D245" i="7"/>
  <c r="E245" i="7"/>
  <c r="F245" i="7"/>
  <c r="G245" i="7"/>
  <c r="H245" i="7"/>
  <c r="J245" i="7"/>
  <c r="C246" i="7"/>
  <c r="D246" i="7"/>
  <c r="E246" i="7"/>
  <c r="F246" i="7"/>
  <c r="G246" i="7"/>
  <c r="H246" i="7"/>
  <c r="J246" i="7"/>
  <c r="C247" i="7"/>
  <c r="D247" i="7"/>
  <c r="E247" i="7"/>
  <c r="F247" i="7"/>
  <c r="G247" i="7"/>
  <c r="H247" i="7"/>
  <c r="J247" i="7"/>
  <c r="C248" i="7"/>
  <c r="D248" i="7"/>
  <c r="E248" i="7"/>
  <c r="F248" i="7"/>
  <c r="G248" i="7"/>
  <c r="H248" i="7"/>
  <c r="J248" i="7"/>
  <c r="C249" i="7"/>
  <c r="D249" i="7"/>
  <c r="E249" i="7"/>
  <c r="F249" i="7"/>
  <c r="G249" i="7"/>
  <c r="H249" i="7"/>
  <c r="J249" i="7"/>
  <c r="C250" i="7"/>
  <c r="D250" i="7"/>
  <c r="E250" i="7"/>
  <c r="F250" i="7"/>
  <c r="G250" i="7"/>
  <c r="H250" i="7"/>
  <c r="J250" i="7"/>
  <c r="C251" i="7"/>
  <c r="D251" i="7"/>
  <c r="E251" i="7"/>
  <c r="F251" i="7"/>
  <c r="G251" i="7"/>
  <c r="H251" i="7"/>
  <c r="J251" i="7"/>
  <c r="C252" i="7"/>
  <c r="D252" i="7"/>
  <c r="E252" i="7"/>
  <c r="F252" i="7"/>
  <c r="G252" i="7"/>
  <c r="H252" i="7"/>
  <c r="J252" i="7"/>
  <c r="C253" i="7"/>
  <c r="D253" i="7"/>
  <c r="E253" i="7"/>
  <c r="F253" i="7"/>
  <c r="G253" i="7"/>
  <c r="H253" i="7"/>
  <c r="J253" i="7"/>
  <c r="C254" i="7"/>
  <c r="D254" i="7"/>
  <c r="E254" i="7"/>
  <c r="F254" i="7"/>
  <c r="G254" i="7"/>
  <c r="H254" i="7"/>
  <c r="J254" i="7"/>
  <c r="C255" i="7"/>
  <c r="D255" i="7"/>
  <c r="E255" i="7"/>
  <c r="F255" i="7"/>
  <c r="G255" i="7"/>
  <c r="H255" i="7"/>
  <c r="J255" i="7"/>
  <c r="C256" i="7"/>
  <c r="D256" i="7"/>
  <c r="E256" i="7"/>
  <c r="F256" i="7"/>
  <c r="G256" i="7"/>
  <c r="H256" i="7"/>
  <c r="J256" i="7"/>
  <c r="C257" i="7"/>
  <c r="D257" i="7"/>
  <c r="E257" i="7"/>
  <c r="F257" i="7"/>
  <c r="G257" i="7"/>
  <c r="H257" i="7"/>
  <c r="J257" i="7"/>
  <c r="C258" i="7"/>
  <c r="D258" i="7"/>
  <c r="E258" i="7"/>
  <c r="F258" i="7"/>
  <c r="G258" i="7"/>
  <c r="H258" i="7"/>
  <c r="J258" i="7"/>
  <c r="C259" i="7"/>
  <c r="D259" i="7"/>
  <c r="E259" i="7"/>
  <c r="F259" i="7"/>
  <c r="G259" i="7"/>
  <c r="H259" i="7"/>
  <c r="J259" i="7"/>
  <c r="C260" i="7"/>
  <c r="D260" i="7"/>
  <c r="E260" i="7"/>
  <c r="F260" i="7"/>
  <c r="G260" i="7"/>
  <c r="H260" i="7"/>
  <c r="J260" i="7"/>
  <c r="C261" i="7"/>
  <c r="D261" i="7"/>
  <c r="E261" i="7"/>
  <c r="F261" i="7"/>
  <c r="G261" i="7"/>
  <c r="H261" i="7"/>
  <c r="J261" i="7"/>
  <c r="C262" i="7"/>
  <c r="D262" i="7"/>
  <c r="E262" i="7"/>
  <c r="F262" i="7"/>
  <c r="G262" i="7"/>
  <c r="H262" i="7"/>
  <c r="J262" i="7"/>
  <c r="C263" i="7"/>
  <c r="D263" i="7"/>
  <c r="E263" i="7"/>
  <c r="F263" i="7"/>
  <c r="G263" i="7"/>
  <c r="H263" i="7"/>
  <c r="J263" i="7"/>
  <c r="C264" i="7"/>
  <c r="D264" i="7"/>
  <c r="E264" i="7"/>
  <c r="F264" i="7"/>
  <c r="G264" i="7"/>
  <c r="H264" i="7"/>
  <c r="J264" i="7"/>
  <c r="C265" i="7"/>
  <c r="D265" i="7"/>
  <c r="E265" i="7"/>
  <c r="F265" i="7"/>
  <c r="G265" i="7"/>
  <c r="H265" i="7"/>
  <c r="J265" i="7"/>
  <c r="C266" i="7"/>
  <c r="D266" i="7"/>
  <c r="E266" i="7"/>
  <c r="F266" i="7"/>
  <c r="G266" i="7"/>
  <c r="H266" i="7"/>
  <c r="J266" i="7"/>
  <c r="C267" i="7"/>
  <c r="D267" i="7"/>
  <c r="E267" i="7"/>
  <c r="F267" i="7"/>
  <c r="G267" i="7"/>
  <c r="H267" i="7"/>
  <c r="J267" i="7"/>
  <c r="C268" i="7"/>
  <c r="D268" i="7"/>
  <c r="E268" i="7"/>
  <c r="F268" i="7"/>
  <c r="G268" i="7"/>
  <c r="H268" i="7"/>
  <c r="J268" i="7"/>
  <c r="C269" i="7"/>
  <c r="D269" i="7"/>
  <c r="E269" i="7"/>
  <c r="F269" i="7"/>
  <c r="G269" i="7"/>
  <c r="H269" i="7"/>
  <c r="J269" i="7"/>
  <c r="C270" i="7"/>
  <c r="D270" i="7"/>
  <c r="E270" i="7"/>
  <c r="F270" i="7"/>
  <c r="G270" i="7"/>
  <c r="H270" i="7"/>
  <c r="J270" i="7"/>
  <c r="C271" i="7"/>
  <c r="D271" i="7"/>
  <c r="E271" i="7"/>
  <c r="F271" i="7"/>
  <c r="G271" i="7"/>
  <c r="H271" i="7"/>
  <c r="J271" i="7"/>
  <c r="C272" i="7"/>
  <c r="D272" i="7"/>
  <c r="E272" i="7"/>
  <c r="F272" i="7"/>
  <c r="G272" i="7"/>
  <c r="H272" i="7"/>
  <c r="J272" i="7"/>
  <c r="C273" i="7"/>
  <c r="D273" i="7"/>
  <c r="E273" i="7"/>
  <c r="F273" i="7"/>
  <c r="G273" i="7"/>
  <c r="H273" i="7"/>
  <c r="J273" i="7"/>
  <c r="C274" i="7"/>
  <c r="D274" i="7"/>
  <c r="E274" i="7"/>
  <c r="F274" i="7"/>
  <c r="G274" i="7"/>
  <c r="H274" i="7"/>
  <c r="J274" i="7"/>
  <c r="C275" i="7"/>
  <c r="D275" i="7"/>
  <c r="E275" i="7"/>
  <c r="F275" i="7"/>
  <c r="G275" i="7"/>
  <c r="H275" i="7"/>
  <c r="J275" i="7"/>
  <c r="C276" i="7"/>
  <c r="D276" i="7"/>
  <c r="E276" i="7"/>
  <c r="F276" i="7"/>
  <c r="G276" i="7"/>
  <c r="H276" i="7"/>
  <c r="J276" i="7"/>
  <c r="C277" i="7"/>
  <c r="D277" i="7"/>
  <c r="E277" i="7"/>
  <c r="F277" i="7"/>
  <c r="G277" i="7"/>
  <c r="H277" i="7"/>
  <c r="J277" i="7"/>
  <c r="C278" i="7"/>
  <c r="D278" i="7"/>
  <c r="E278" i="7"/>
  <c r="F278" i="7"/>
  <c r="G278" i="7"/>
  <c r="H278" i="7"/>
  <c r="J278" i="7"/>
  <c r="C279" i="7"/>
  <c r="D279" i="7"/>
  <c r="E279" i="7"/>
  <c r="F279" i="7"/>
  <c r="G279" i="7"/>
  <c r="H279" i="7"/>
  <c r="J279" i="7"/>
  <c r="C280" i="7"/>
  <c r="D280" i="7"/>
  <c r="E280" i="7"/>
  <c r="F280" i="7"/>
  <c r="G280" i="7"/>
  <c r="H280" i="7"/>
  <c r="J280" i="7"/>
  <c r="C281" i="7"/>
  <c r="D281" i="7"/>
  <c r="E281" i="7"/>
  <c r="F281" i="7"/>
  <c r="G281" i="7"/>
  <c r="H281" i="7"/>
  <c r="J281" i="7"/>
  <c r="C282" i="7"/>
  <c r="D282" i="7"/>
  <c r="E282" i="7"/>
  <c r="F282" i="7"/>
  <c r="G282" i="7"/>
  <c r="H282" i="7"/>
  <c r="J282" i="7"/>
  <c r="C283" i="7"/>
  <c r="D283" i="7"/>
  <c r="E283" i="7"/>
  <c r="F283" i="7"/>
  <c r="G283" i="7"/>
  <c r="H283" i="7"/>
  <c r="J283" i="7"/>
  <c r="C284" i="7"/>
  <c r="D284" i="7"/>
  <c r="E284" i="7"/>
  <c r="F284" i="7"/>
  <c r="G284" i="7"/>
  <c r="H284" i="7"/>
  <c r="J284" i="7"/>
  <c r="C285" i="7"/>
  <c r="D285" i="7"/>
  <c r="E285" i="7"/>
  <c r="F285" i="7"/>
  <c r="G285" i="7"/>
  <c r="H285" i="7"/>
  <c r="J285" i="7"/>
  <c r="C286" i="7"/>
  <c r="D286" i="7"/>
  <c r="E286" i="7"/>
  <c r="F286" i="7"/>
  <c r="G286" i="7"/>
  <c r="H286" i="7"/>
  <c r="J286" i="7"/>
  <c r="C287" i="7"/>
  <c r="D287" i="7"/>
  <c r="E287" i="7"/>
  <c r="F287" i="7"/>
  <c r="G287" i="7"/>
  <c r="H287" i="7"/>
  <c r="J287" i="7"/>
  <c r="C288" i="7"/>
  <c r="D288" i="7"/>
  <c r="E288" i="7"/>
  <c r="F288" i="7"/>
  <c r="G288" i="7"/>
  <c r="H288" i="7"/>
  <c r="J288" i="7"/>
  <c r="C289" i="7"/>
  <c r="D289" i="7"/>
  <c r="E289" i="7"/>
  <c r="F289" i="7"/>
  <c r="G289" i="7"/>
  <c r="H289" i="7"/>
  <c r="J289" i="7"/>
  <c r="C290" i="7"/>
  <c r="D290" i="7"/>
  <c r="E290" i="7"/>
  <c r="F290" i="7"/>
  <c r="G290" i="7"/>
  <c r="H290" i="7"/>
  <c r="J290" i="7"/>
  <c r="C291" i="7"/>
  <c r="D291" i="7"/>
  <c r="E291" i="7"/>
  <c r="F291" i="7"/>
  <c r="G291" i="7"/>
  <c r="H291" i="7"/>
  <c r="J291" i="7"/>
  <c r="C292" i="7"/>
  <c r="D292" i="7"/>
  <c r="E292" i="7"/>
  <c r="F292" i="7"/>
  <c r="G292" i="7"/>
  <c r="H292" i="7"/>
  <c r="J292" i="7"/>
  <c r="C293" i="7"/>
  <c r="D293" i="7"/>
  <c r="E293" i="7"/>
  <c r="F293" i="7"/>
  <c r="G293" i="7"/>
  <c r="H293" i="7"/>
  <c r="J293" i="7"/>
  <c r="C294" i="7"/>
  <c r="D294" i="7"/>
  <c r="E294" i="7"/>
  <c r="F294" i="7"/>
  <c r="G294" i="7"/>
  <c r="H294" i="7"/>
  <c r="J294" i="7"/>
  <c r="C295" i="7"/>
  <c r="D295" i="7"/>
  <c r="E295" i="7"/>
  <c r="F295" i="7"/>
  <c r="G295" i="7"/>
  <c r="H295" i="7"/>
  <c r="J295" i="7"/>
  <c r="C296" i="7"/>
  <c r="D296" i="7"/>
  <c r="E296" i="7"/>
  <c r="F296" i="7"/>
  <c r="G296" i="7"/>
  <c r="H296" i="7"/>
  <c r="J296" i="7"/>
  <c r="C297" i="7"/>
  <c r="D297" i="7"/>
  <c r="E297" i="7"/>
  <c r="F297" i="7"/>
  <c r="G297" i="7"/>
  <c r="H297" i="7"/>
  <c r="J297" i="7"/>
  <c r="C298" i="7"/>
  <c r="D298" i="7"/>
  <c r="E298" i="7"/>
  <c r="F298" i="7"/>
  <c r="G298" i="7"/>
  <c r="H298" i="7"/>
  <c r="J298" i="7"/>
  <c r="C299" i="7"/>
  <c r="D299" i="7"/>
  <c r="E299" i="7"/>
  <c r="F299" i="7"/>
  <c r="G299" i="7"/>
  <c r="H299" i="7"/>
  <c r="J299" i="7"/>
  <c r="C300" i="7"/>
  <c r="D300" i="7"/>
  <c r="E300" i="7"/>
  <c r="F300" i="7"/>
  <c r="G300" i="7"/>
  <c r="H300" i="7"/>
  <c r="J300" i="7"/>
  <c r="C301" i="7"/>
  <c r="D301" i="7"/>
  <c r="E301" i="7"/>
  <c r="F301" i="7"/>
  <c r="G301" i="7"/>
  <c r="H301" i="7"/>
  <c r="J301" i="7"/>
  <c r="C302" i="7"/>
  <c r="D302" i="7"/>
  <c r="E302" i="7"/>
  <c r="F302" i="7"/>
  <c r="G302" i="7"/>
  <c r="H302" i="7"/>
  <c r="J302" i="7"/>
  <c r="C303" i="7"/>
  <c r="D303" i="7"/>
  <c r="E303" i="7"/>
  <c r="F303" i="7"/>
  <c r="G303" i="7"/>
  <c r="H303" i="7"/>
  <c r="J303" i="7"/>
  <c r="C304" i="7"/>
  <c r="D304" i="7"/>
  <c r="E304" i="7"/>
  <c r="F304" i="7"/>
  <c r="G304" i="7"/>
  <c r="H304" i="7"/>
  <c r="J304" i="7"/>
  <c r="C305" i="7"/>
  <c r="D305" i="7"/>
  <c r="E305" i="7"/>
  <c r="F305" i="7"/>
  <c r="G305" i="7"/>
  <c r="H305" i="7"/>
  <c r="J305" i="7"/>
  <c r="C306" i="7"/>
  <c r="D306" i="7"/>
  <c r="E306" i="7"/>
  <c r="F306" i="7"/>
  <c r="G306" i="7"/>
  <c r="H306" i="7"/>
  <c r="J306" i="7"/>
  <c r="C307" i="7"/>
  <c r="D307" i="7"/>
  <c r="E307" i="7"/>
  <c r="F307" i="7"/>
  <c r="G307" i="7"/>
  <c r="H307" i="7"/>
  <c r="J307" i="7"/>
  <c r="C308" i="7"/>
  <c r="D308" i="7"/>
  <c r="E308" i="7"/>
  <c r="F308" i="7"/>
  <c r="G308" i="7"/>
  <c r="H308" i="7"/>
  <c r="J308" i="7"/>
  <c r="C309" i="7"/>
  <c r="D309" i="7"/>
  <c r="E309" i="7"/>
  <c r="F309" i="7"/>
  <c r="G309" i="7"/>
  <c r="H309" i="7"/>
  <c r="J309" i="7"/>
  <c r="C310" i="7"/>
  <c r="D310" i="7"/>
  <c r="E310" i="7"/>
  <c r="F310" i="7"/>
  <c r="G310" i="7"/>
  <c r="H310" i="7"/>
  <c r="J310" i="7"/>
  <c r="C311" i="7"/>
  <c r="D311" i="7"/>
  <c r="E311" i="7"/>
  <c r="F311" i="7"/>
  <c r="G311" i="7"/>
  <c r="H311" i="7"/>
  <c r="J311" i="7"/>
  <c r="C312" i="7"/>
  <c r="D312" i="7"/>
  <c r="E312" i="7"/>
  <c r="F312" i="7"/>
  <c r="G312" i="7"/>
  <c r="H312" i="7"/>
  <c r="J312" i="7"/>
  <c r="C313" i="7"/>
  <c r="D313" i="7"/>
  <c r="E313" i="7"/>
  <c r="F313" i="7"/>
  <c r="G313" i="7"/>
  <c r="H313" i="7"/>
  <c r="J313" i="7"/>
  <c r="C314" i="7"/>
  <c r="D314" i="7"/>
  <c r="E314" i="7"/>
  <c r="F314" i="7"/>
  <c r="G314" i="7"/>
  <c r="H314" i="7"/>
  <c r="J314" i="7"/>
  <c r="C315" i="7"/>
  <c r="D315" i="7"/>
  <c r="E315" i="7"/>
  <c r="F315" i="7"/>
  <c r="G315" i="7"/>
  <c r="H315" i="7"/>
  <c r="J315" i="7"/>
  <c r="C316" i="7"/>
  <c r="D316" i="7"/>
  <c r="E316" i="7"/>
  <c r="F316" i="7"/>
  <c r="G316" i="7"/>
  <c r="H316" i="7"/>
  <c r="J316" i="7"/>
  <c r="C317" i="7"/>
  <c r="D317" i="7"/>
  <c r="E317" i="7"/>
  <c r="F317" i="7"/>
  <c r="G317" i="7"/>
  <c r="H317" i="7"/>
  <c r="J317" i="7"/>
  <c r="C318" i="7"/>
  <c r="D318" i="7"/>
  <c r="E318" i="7"/>
  <c r="F318" i="7"/>
  <c r="G318" i="7"/>
  <c r="H318" i="7"/>
  <c r="J318" i="7"/>
  <c r="C319" i="7"/>
  <c r="D319" i="7"/>
  <c r="E319" i="7"/>
  <c r="F319" i="7"/>
  <c r="G319" i="7"/>
  <c r="H319" i="7"/>
  <c r="J319" i="7"/>
  <c r="C320" i="7"/>
  <c r="D320" i="7"/>
  <c r="E320" i="7"/>
  <c r="F320" i="7"/>
  <c r="G320" i="7"/>
  <c r="H320" i="7"/>
  <c r="J320" i="7"/>
  <c r="C321" i="7"/>
  <c r="D321" i="7"/>
  <c r="E321" i="7"/>
  <c r="F321" i="7"/>
  <c r="G321" i="7"/>
  <c r="H321" i="7"/>
  <c r="J321" i="7"/>
  <c r="C322" i="7"/>
  <c r="D322" i="7"/>
  <c r="E322" i="7"/>
  <c r="F322" i="7"/>
  <c r="G322" i="7"/>
  <c r="H322" i="7"/>
  <c r="J322" i="7"/>
  <c r="C323" i="7"/>
  <c r="D323" i="7"/>
  <c r="E323" i="7"/>
  <c r="F323" i="7"/>
  <c r="G323" i="7"/>
  <c r="H323" i="7"/>
  <c r="J323" i="7"/>
  <c r="C324" i="7"/>
  <c r="D324" i="7"/>
  <c r="E324" i="7"/>
  <c r="F324" i="7"/>
  <c r="G324" i="7"/>
  <c r="H324" i="7"/>
  <c r="J324" i="7"/>
  <c r="C325" i="7"/>
  <c r="D325" i="7"/>
  <c r="E325" i="7"/>
  <c r="F325" i="7"/>
  <c r="G325" i="7"/>
  <c r="H325" i="7"/>
  <c r="J325" i="7"/>
  <c r="C326" i="7"/>
  <c r="D326" i="7"/>
  <c r="E326" i="7"/>
  <c r="F326" i="7"/>
  <c r="G326" i="7"/>
  <c r="H326" i="7"/>
  <c r="J326" i="7"/>
  <c r="C327" i="7"/>
  <c r="D327" i="7"/>
  <c r="E327" i="7"/>
  <c r="F327" i="7"/>
  <c r="G327" i="7"/>
  <c r="H327" i="7"/>
  <c r="J327" i="7"/>
  <c r="C328" i="7"/>
  <c r="D328" i="7"/>
  <c r="E328" i="7"/>
  <c r="F328" i="7"/>
  <c r="G328" i="7"/>
  <c r="H328" i="7"/>
  <c r="J328" i="7"/>
  <c r="C329" i="7"/>
  <c r="D329" i="7"/>
  <c r="E329" i="7"/>
  <c r="F329" i="7"/>
  <c r="G329" i="7"/>
  <c r="H329" i="7"/>
  <c r="J329" i="7"/>
  <c r="C330" i="7"/>
  <c r="D330" i="7"/>
  <c r="E330" i="7"/>
  <c r="F330" i="7"/>
  <c r="G330" i="7"/>
  <c r="H330" i="7"/>
  <c r="J330" i="7"/>
  <c r="C331" i="7"/>
  <c r="D331" i="7"/>
  <c r="E331" i="7"/>
  <c r="F331" i="7"/>
  <c r="G331" i="7"/>
  <c r="H331" i="7"/>
  <c r="J331" i="7"/>
  <c r="C332" i="7"/>
  <c r="D332" i="7"/>
  <c r="E332" i="7"/>
  <c r="F332" i="7"/>
  <c r="G332" i="7"/>
  <c r="H332" i="7"/>
  <c r="J332" i="7"/>
  <c r="C333" i="7"/>
  <c r="D333" i="7"/>
  <c r="E333" i="7"/>
  <c r="F333" i="7"/>
  <c r="G333" i="7"/>
  <c r="H333" i="7"/>
  <c r="J333" i="7"/>
  <c r="C334" i="7"/>
  <c r="D334" i="7"/>
  <c r="E334" i="7"/>
  <c r="F334" i="7"/>
  <c r="G334" i="7"/>
  <c r="H334" i="7"/>
  <c r="J334" i="7"/>
  <c r="C335" i="7"/>
  <c r="D335" i="7"/>
  <c r="E335" i="7"/>
  <c r="F335" i="7"/>
  <c r="G335" i="7"/>
  <c r="H335" i="7"/>
  <c r="J335" i="7"/>
  <c r="C336" i="7"/>
  <c r="D336" i="7"/>
  <c r="E336" i="7"/>
  <c r="F336" i="7"/>
  <c r="G336" i="7"/>
  <c r="H336" i="7"/>
  <c r="J336" i="7"/>
  <c r="C337" i="7"/>
  <c r="D337" i="7"/>
  <c r="E337" i="7"/>
  <c r="F337" i="7"/>
  <c r="G337" i="7"/>
  <c r="H337" i="7"/>
  <c r="J337" i="7"/>
  <c r="C338" i="7"/>
  <c r="D338" i="7"/>
  <c r="E338" i="7"/>
  <c r="F338" i="7"/>
  <c r="G338" i="7"/>
  <c r="H338" i="7"/>
  <c r="J338" i="7"/>
  <c r="C339" i="7"/>
  <c r="D339" i="7"/>
  <c r="E339" i="7"/>
  <c r="F339" i="7"/>
  <c r="G339" i="7"/>
  <c r="H339" i="7"/>
  <c r="J339" i="7"/>
  <c r="C340" i="7"/>
  <c r="D340" i="7"/>
  <c r="E340" i="7"/>
  <c r="F340" i="7"/>
  <c r="G340" i="7"/>
  <c r="H340" i="7"/>
  <c r="J340" i="7"/>
  <c r="C341" i="7"/>
  <c r="D341" i="7"/>
  <c r="E341" i="7"/>
  <c r="F341" i="7"/>
  <c r="G341" i="7"/>
  <c r="H341" i="7"/>
  <c r="J341" i="7"/>
  <c r="C342" i="7"/>
  <c r="D342" i="7"/>
  <c r="E342" i="7"/>
  <c r="F342" i="7"/>
  <c r="G342" i="7"/>
  <c r="H342" i="7"/>
  <c r="J342" i="7"/>
  <c r="C343" i="7"/>
  <c r="D343" i="7"/>
  <c r="E343" i="7"/>
  <c r="F343" i="7"/>
  <c r="G343" i="7"/>
  <c r="H343" i="7"/>
  <c r="J343" i="7"/>
  <c r="C344" i="7"/>
  <c r="D344" i="7"/>
  <c r="E344" i="7"/>
  <c r="F344" i="7"/>
  <c r="G344" i="7"/>
  <c r="H344" i="7"/>
  <c r="J344" i="7"/>
  <c r="C345" i="7"/>
  <c r="D345" i="7"/>
  <c r="E345" i="7"/>
  <c r="F345" i="7"/>
  <c r="G345" i="7"/>
  <c r="H345" i="7"/>
  <c r="J345" i="7"/>
  <c r="C346" i="7"/>
  <c r="D346" i="7"/>
  <c r="E346" i="7"/>
  <c r="F346" i="7"/>
  <c r="G346" i="7"/>
  <c r="H346" i="7"/>
  <c r="J346" i="7"/>
  <c r="C347" i="7"/>
  <c r="D347" i="7"/>
  <c r="E347" i="7"/>
  <c r="F347" i="7"/>
  <c r="G347" i="7"/>
  <c r="H347" i="7"/>
  <c r="J347" i="7"/>
  <c r="C348" i="7"/>
  <c r="D348" i="7"/>
  <c r="E348" i="7"/>
  <c r="F348" i="7"/>
  <c r="G348" i="7"/>
  <c r="H348" i="7"/>
  <c r="J348" i="7"/>
  <c r="C349" i="7"/>
  <c r="D349" i="7"/>
  <c r="E349" i="7"/>
  <c r="F349" i="7"/>
  <c r="G349" i="7"/>
  <c r="H349" i="7"/>
  <c r="J349" i="7"/>
  <c r="C350" i="7"/>
  <c r="D350" i="7"/>
  <c r="E350" i="7"/>
  <c r="F350" i="7"/>
  <c r="G350" i="7"/>
  <c r="H350" i="7"/>
  <c r="J350" i="7"/>
  <c r="C351" i="7"/>
  <c r="D351" i="7"/>
  <c r="E351" i="7"/>
  <c r="F351" i="7"/>
  <c r="G351" i="7"/>
  <c r="H351" i="7"/>
  <c r="J351" i="7"/>
  <c r="C352" i="7"/>
  <c r="D352" i="7"/>
  <c r="E352" i="7"/>
  <c r="F352" i="7"/>
  <c r="G352" i="7"/>
  <c r="H352" i="7"/>
  <c r="J352" i="7"/>
  <c r="C353" i="7"/>
  <c r="D353" i="7"/>
  <c r="E353" i="7"/>
  <c r="F353" i="7"/>
  <c r="G353" i="7"/>
  <c r="H353" i="7"/>
  <c r="J353" i="7"/>
  <c r="C354" i="7"/>
  <c r="D354" i="7"/>
  <c r="E354" i="7"/>
  <c r="F354" i="7"/>
  <c r="G354" i="7"/>
  <c r="H354" i="7"/>
  <c r="J354" i="7"/>
  <c r="C355" i="7"/>
  <c r="D355" i="7"/>
  <c r="E355" i="7"/>
  <c r="F355" i="7"/>
  <c r="G355" i="7"/>
  <c r="H355" i="7"/>
  <c r="J355" i="7"/>
  <c r="C356" i="7"/>
  <c r="D356" i="7"/>
  <c r="E356" i="7"/>
  <c r="F356" i="7"/>
  <c r="G356" i="7"/>
  <c r="H356" i="7"/>
  <c r="J356" i="7"/>
  <c r="C357" i="7"/>
  <c r="D357" i="7"/>
  <c r="E357" i="7"/>
  <c r="F357" i="7"/>
  <c r="G357" i="7"/>
  <c r="H357" i="7"/>
  <c r="J357" i="7"/>
  <c r="C358" i="7"/>
  <c r="D358" i="7"/>
  <c r="E358" i="7"/>
  <c r="F358" i="7"/>
  <c r="G358" i="7"/>
  <c r="H358" i="7"/>
  <c r="J358" i="7"/>
  <c r="C359" i="7"/>
  <c r="D359" i="7"/>
  <c r="E359" i="7"/>
  <c r="F359" i="7"/>
  <c r="G359" i="7"/>
  <c r="H359" i="7"/>
  <c r="J359" i="7"/>
  <c r="C360" i="7"/>
  <c r="D360" i="7"/>
  <c r="E360" i="7"/>
  <c r="F360" i="7"/>
  <c r="G360" i="7"/>
  <c r="H360" i="7"/>
  <c r="J360" i="7"/>
  <c r="C361" i="7"/>
  <c r="D361" i="7"/>
  <c r="E361" i="7"/>
  <c r="F361" i="7"/>
  <c r="G361" i="7"/>
  <c r="H361" i="7"/>
  <c r="J361" i="7"/>
  <c r="C362" i="7"/>
  <c r="D362" i="7"/>
  <c r="E362" i="7"/>
  <c r="F362" i="7"/>
  <c r="G362" i="7"/>
  <c r="H362" i="7"/>
  <c r="J362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1" i="7"/>
  <c r="B202" i="7"/>
  <c r="B203" i="7"/>
  <c r="B204" i="7"/>
  <c r="B205" i="7"/>
  <c r="B206" i="7"/>
  <c r="B207" i="7"/>
  <c r="B208" i="7"/>
  <c r="B209" i="7"/>
  <c r="B210" i="7"/>
  <c r="B211" i="7"/>
  <c r="B212" i="7"/>
  <c r="B213" i="7"/>
  <c r="B214" i="7"/>
  <c r="B215" i="7"/>
  <c r="B216" i="7"/>
  <c r="B217" i="7"/>
  <c r="B218" i="7"/>
  <c r="B219" i="7"/>
  <c r="B220" i="7"/>
  <c r="B221" i="7"/>
  <c r="B222" i="7"/>
  <c r="B223" i="7"/>
  <c r="B224" i="7"/>
  <c r="B225" i="7"/>
  <c r="B226" i="7"/>
  <c r="B227" i="7"/>
  <c r="B228" i="7"/>
  <c r="B229" i="7"/>
  <c r="B230" i="7"/>
  <c r="B231" i="7"/>
  <c r="B232" i="7"/>
  <c r="B233" i="7"/>
  <c r="B234" i="7"/>
  <c r="B235" i="7"/>
  <c r="B236" i="7"/>
  <c r="B237" i="7"/>
  <c r="B238" i="7"/>
  <c r="B239" i="7"/>
  <c r="B240" i="7"/>
  <c r="B241" i="7"/>
  <c r="B242" i="7"/>
  <c r="B243" i="7"/>
  <c r="B244" i="7"/>
  <c r="B245" i="7"/>
  <c r="B246" i="7"/>
  <c r="B247" i="7"/>
  <c r="B248" i="7"/>
  <c r="B249" i="7"/>
  <c r="B250" i="7"/>
  <c r="B251" i="7"/>
  <c r="B252" i="7"/>
  <c r="B253" i="7"/>
  <c r="B254" i="7"/>
  <c r="B255" i="7"/>
  <c r="B256" i="7"/>
  <c r="B257" i="7"/>
  <c r="B258" i="7"/>
  <c r="B259" i="7"/>
  <c r="B260" i="7"/>
  <c r="B261" i="7"/>
  <c r="B262" i="7"/>
  <c r="B263" i="7"/>
  <c r="B264" i="7"/>
  <c r="B265" i="7"/>
  <c r="B266" i="7"/>
  <c r="B267" i="7"/>
  <c r="B268" i="7"/>
  <c r="B269" i="7"/>
  <c r="B270" i="7"/>
  <c r="B271" i="7"/>
  <c r="B272" i="7"/>
  <c r="B273" i="7"/>
  <c r="B274" i="7"/>
  <c r="B275" i="7"/>
  <c r="B276" i="7"/>
  <c r="B277" i="7"/>
  <c r="B278" i="7"/>
  <c r="B279" i="7"/>
  <c r="B280" i="7"/>
  <c r="B281" i="7"/>
  <c r="B282" i="7"/>
  <c r="B283" i="7"/>
  <c r="B284" i="7"/>
  <c r="B285" i="7"/>
  <c r="B286" i="7"/>
  <c r="B287" i="7"/>
  <c r="B288" i="7"/>
  <c r="B289" i="7"/>
  <c r="B290" i="7"/>
  <c r="B291" i="7"/>
  <c r="B292" i="7"/>
  <c r="B293" i="7"/>
  <c r="B294" i="7"/>
  <c r="B295" i="7"/>
  <c r="B296" i="7"/>
  <c r="B297" i="7"/>
  <c r="B298" i="7"/>
  <c r="B299" i="7"/>
  <c r="B300" i="7"/>
  <c r="B301" i="7"/>
  <c r="B302" i="7"/>
  <c r="B303" i="7"/>
  <c r="B304" i="7"/>
  <c r="B305" i="7"/>
  <c r="B306" i="7"/>
  <c r="B307" i="7"/>
  <c r="B308" i="7"/>
  <c r="B309" i="7"/>
  <c r="B310" i="7"/>
  <c r="B311" i="7"/>
  <c r="B312" i="7"/>
  <c r="B313" i="7"/>
  <c r="B314" i="7"/>
  <c r="B315" i="7"/>
  <c r="B316" i="7"/>
  <c r="B317" i="7"/>
  <c r="B318" i="7"/>
  <c r="B319" i="7"/>
  <c r="B320" i="7"/>
  <c r="B321" i="7"/>
  <c r="B322" i="7"/>
  <c r="B323" i="7"/>
  <c r="B324" i="7"/>
  <c r="B325" i="7"/>
  <c r="B326" i="7"/>
  <c r="B327" i="7"/>
  <c r="B328" i="7"/>
  <c r="B329" i="7"/>
  <c r="B330" i="7"/>
  <c r="B331" i="7"/>
  <c r="B332" i="7"/>
  <c r="B333" i="7"/>
  <c r="B334" i="7"/>
  <c r="B335" i="7"/>
  <c r="B336" i="7"/>
  <c r="B337" i="7"/>
  <c r="B338" i="7"/>
  <c r="B339" i="7"/>
  <c r="B340" i="7"/>
  <c r="B341" i="7"/>
  <c r="B342" i="7"/>
  <c r="B343" i="7"/>
  <c r="B344" i="7"/>
  <c r="B345" i="7"/>
  <c r="B346" i="7"/>
  <c r="B347" i="7"/>
  <c r="B348" i="7"/>
  <c r="B349" i="7"/>
  <c r="B350" i="7"/>
  <c r="B351" i="7"/>
  <c r="B352" i="7"/>
  <c r="B353" i="7"/>
  <c r="B354" i="7"/>
  <c r="B355" i="7"/>
  <c r="B356" i="7"/>
  <c r="B357" i="7"/>
  <c r="B358" i="7"/>
  <c r="B359" i="7"/>
  <c r="B360" i="7"/>
  <c r="B361" i="7"/>
  <c r="B362" i="7"/>
  <c r="B363" i="7"/>
  <c r="B364" i="7"/>
  <c r="B365" i="7"/>
  <c r="B366" i="7"/>
  <c r="I33" i="7" l="1"/>
  <c r="C25" i="7"/>
  <c r="G25" i="7"/>
  <c r="D26" i="7"/>
  <c r="H26" i="7"/>
  <c r="E27" i="7"/>
  <c r="J27" i="7"/>
  <c r="F28" i="7"/>
  <c r="C29" i="7"/>
  <c r="G29" i="7"/>
  <c r="D30" i="7"/>
  <c r="H30" i="7"/>
  <c r="E31" i="7"/>
  <c r="J31" i="7"/>
  <c r="F32" i="7"/>
  <c r="C33" i="7"/>
  <c r="G33" i="7"/>
  <c r="D34" i="7"/>
  <c r="H34" i="7"/>
  <c r="E35" i="7"/>
  <c r="J35" i="7"/>
  <c r="F36" i="7"/>
  <c r="C37" i="7"/>
  <c r="G37" i="7"/>
  <c r="D38" i="7"/>
  <c r="H38" i="7"/>
  <c r="E39" i="7"/>
  <c r="J39" i="7"/>
  <c r="F40" i="7"/>
  <c r="C41" i="7"/>
  <c r="G41" i="7"/>
  <c r="D42" i="7"/>
  <c r="H42" i="7"/>
  <c r="E43" i="7"/>
  <c r="J43" i="7"/>
  <c r="F44" i="7"/>
  <c r="B27" i="7"/>
  <c r="B31" i="7"/>
  <c r="B35" i="7"/>
  <c r="B39" i="7"/>
  <c r="B43" i="7"/>
  <c r="I24" i="7"/>
  <c r="I25" i="7"/>
  <c r="F25" i="7"/>
  <c r="C26" i="7"/>
  <c r="G26" i="7"/>
  <c r="D27" i="7"/>
  <c r="H27" i="7"/>
  <c r="E28" i="7"/>
  <c r="J28" i="7"/>
  <c r="F29" i="7"/>
  <c r="C30" i="7"/>
  <c r="G30" i="7"/>
  <c r="D31" i="7"/>
  <c r="H31" i="7"/>
  <c r="E32" i="7"/>
  <c r="J32" i="7"/>
  <c r="F33" i="7"/>
  <c r="C34" i="7"/>
  <c r="G34" i="7"/>
  <c r="H35" i="7"/>
  <c r="E36" i="7"/>
  <c r="J36" i="7"/>
  <c r="F37" i="7"/>
  <c r="C38" i="7"/>
  <c r="G38" i="7"/>
  <c r="D39" i="7"/>
  <c r="H39" i="7"/>
  <c r="E40" i="7"/>
  <c r="F41" i="7"/>
  <c r="C42" i="7"/>
  <c r="G42" i="7"/>
  <c r="H43" i="7"/>
  <c r="J44" i="7"/>
  <c r="B30" i="7"/>
  <c r="B34" i="7"/>
  <c r="B42" i="7"/>
  <c r="I41" i="7"/>
  <c r="D25" i="7"/>
  <c r="H25" i="7"/>
  <c r="E26" i="7"/>
  <c r="J26" i="7"/>
  <c r="F27" i="7"/>
  <c r="C28" i="7"/>
  <c r="G28" i="7"/>
  <c r="D29" i="7"/>
  <c r="H29" i="7"/>
  <c r="E30" i="7"/>
  <c r="J30" i="7"/>
  <c r="F31" i="7"/>
  <c r="C32" i="7"/>
  <c r="G32" i="7"/>
  <c r="D33" i="7"/>
  <c r="H33" i="7"/>
  <c r="E34" i="7"/>
  <c r="J34" i="7"/>
  <c r="F35" i="7"/>
  <c r="C36" i="7"/>
  <c r="G36" i="7"/>
  <c r="D37" i="7"/>
  <c r="H37" i="7"/>
  <c r="E38" i="7"/>
  <c r="J38" i="7"/>
  <c r="F39" i="7"/>
  <c r="C40" i="7"/>
  <c r="G40" i="7"/>
  <c r="D41" i="7"/>
  <c r="H41" i="7"/>
  <c r="E42" i="7"/>
  <c r="J42" i="7"/>
  <c r="F43" i="7"/>
  <c r="C44" i="7"/>
  <c r="G44" i="7"/>
  <c r="B28" i="7"/>
  <c r="B32" i="7"/>
  <c r="B36" i="7"/>
  <c r="B40" i="7"/>
  <c r="B44" i="7"/>
  <c r="D35" i="7"/>
  <c r="J40" i="7"/>
  <c r="D43" i="7"/>
  <c r="E44" i="7"/>
  <c r="B26" i="7"/>
  <c r="B38" i="7"/>
  <c r="E25" i="7"/>
  <c r="J25" i="7"/>
  <c r="F26" i="7"/>
  <c r="C27" i="7"/>
  <c r="G27" i="7"/>
  <c r="D28" i="7"/>
  <c r="H28" i="7"/>
  <c r="E29" i="7"/>
  <c r="J29" i="7"/>
  <c r="F30" i="7"/>
  <c r="C31" i="7"/>
  <c r="G31" i="7"/>
  <c r="D32" i="7"/>
  <c r="H32" i="7"/>
  <c r="E33" i="7"/>
  <c r="J33" i="7"/>
  <c r="F34" i="7"/>
  <c r="C35" i="7"/>
  <c r="G35" i="7"/>
  <c r="D36" i="7"/>
  <c r="H36" i="7"/>
  <c r="E37" i="7"/>
  <c r="J37" i="7"/>
  <c r="F38" i="7"/>
  <c r="C39" i="7"/>
  <c r="G39" i="7"/>
  <c r="D40" i="7"/>
  <c r="H40" i="7"/>
  <c r="E41" i="7"/>
  <c r="J41" i="7"/>
  <c r="F42" i="7"/>
  <c r="C43" i="7"/>
  <c r="G43" i="7"/>
  <c r="D44" i="7"/>
  <c r="H44" i="7"/>
  <c r="B25" i="7"/>
  <c r="B29" i="7"/>
  <c r="B33" i="7"/>
  <c r="B37" i="7"/>
  <c r="B41" i="7"/>
  <c r="I39" i="7"/>
  <c r="I31" i="7"/>
  <c r="I37" i="7"/>
  <c r="I29" i="7"/>
  <c r="I43" i="7"/>
  <c r="I35" i="7"/>
  <c r="I27" i="7"/>
  <c r="I42" i="7"/>
  <c r="I38" i="7"/>
  <c r="I34" i="7"/>
  <c r="I30" i="7"/>
  <c r="I26" i="7"/>
  <c r="I44" i="7"/>
  <c r="I40" i="7"/>
  <c r="I36" i="7"/>
  <c r="I32" i="7"/>
  <c r="I28" i="7"/>
  <c r="I5" i="7"/>
  <c r="I9" i="7"/>
  <c r="I13" i="7"/>
  <c r="I17" i="7"/>
  <c r="I21" i="7"/>
  <c r="I6" i="7"/>
  <c r="I10" i="7"/>
  <c r="I14" i="7"/>
  <c r="I18" i="7"/>
  <c r="I22" i="7"/>
  <c r="I7" i="7"/>
  <c r="I11" i="7"/>
  <c r="I15" i="7"/>
  <c r="I19" i="7"/>
  <c r="I23" i="7"/>
  <c r="I8" i="7"/>
  <c r="I12" i="7"/>
  <c r="I16" i="7"/>
  <c r="I20" i="7"/>
  <c r="C5" i="7"/>
  <c r="G5" i="7"/>
  <c r="C6" i="7"/>
  <c r="G6" i="7"/>
  <c r="C7" i="7"/>
  <c r="G7" i="7"/>
  <c r="C8" i="7"/>
  <c r="G8" i="7"/>
  <c r="C9" i="7"/>
  <c r="G9" i="7"/>
  <c r="C10" i="7"/>
  <c r="G10" i="7"/>
  <c r="C11" i="7"/>
  <c r="G11" i="7"/>
  <c r="C12" i="7"/>
  <c r="G12" i="7"/>
  <c r="C13" i="7"/>
  <c r="G13" i="7"/>
  <c r="C14" i="7"/>
  <c r="G14" i="7"/>
  <c r="C15" i="7"/>
  <c r="G15" i="7"/>
  <c r="C16" i="7"/>
  <c r="G16" i="7"/>
  <c r="C17" i="7"/>
  <c r="G17" i="7"/>
  <c r="C18" i="7"/>
  <c r="G18" i="7"/>
  <c r="C19" i="7"/>
  <c r="G19" i="7"/>
  <c r="C20" i="7"/>
  <c r="G20" i="7"/>
  <c r="C21" i="7"/>
  <c r="G21" i="7"/>
  <c r="C22" i="7"/>
  <c r="G22" i="7"/>
  <c r="C23" i="7"/>
  <c r="G23" i="7"/>
  <c r="C24" i="7"/>
  <c r="G24" i="7"/>
  <c r="B8" i="7"/>
  <c r="B12" i="7"/>
  <c r="B16" i="7"/>
  <c r="B20" i="7"/>
  <c r="B24" i="7"/>
  <c r="E8" i="7"/>
  <c r="E9" i="7"/>
  <c r="E10" i="7"/>
  <c r="E23" i="7"/>
  <c r="E24" i="7"/>
  <c r="B6" i="7"/>
  <c r="B10" i="7"/>
  <c r="B14" i="7"/>
  <c r="B18" i="7"/>
  <c r="B22" i="7"/>
  <c r="F5" i="7"/>
  <c r="J5" i="7"/>
  <c r="F6" i="7"/>
  <c r="J6" i="7"/>
  <c r="F7" i="7"/>
  <c r="J7" i="7"/>
  <c r="F8" i="7"/>
  <c r="J8" i="7"/>
  <c r="F9" i="7"/>
  <c r="J9" i="7"/>
  <c r="F10" i="7"/>
  <c r="D5" i="7"/>
  <c r="H5" i="7"/>
  <c r="D6" i="7"/>
  <c r="H6" i="7"/>
  <c r="D7" i="7"/>
  <c r="H7" i="7"/>
  <c r="D8" i="7"/>
  <c r="H8" i="7"/>
  <c r="D9" i="7"/>
  <c r="H9" i="7"/>
  <c r="D10" i="7"/>
  <c r="H10" i="7"/>
  <c r="D11" i="7"/>
  <c r="H11" i="7"/>
  <c r="D12" i="7"/>
  <c r="H12" i="7"/>
  <c r="D13" i="7"/>
  <c r="H13" i="7"/>
  <c r="D14" i="7"/>
  <c r="H14" i="7"/>
  <c r="D15" i="7"/>
  <c r="H15" i="7"/>
  <c r="D16" i="7"/>
  <c r="H16" i="7"/>
  <c r="D17" i="7"/>
  <c r="H17" i="7"/>
  <c r="D18" i="7"/>
  <c r="H18" i="7"/>
  <c r="D19" i="7"/>
  <c r="H19" i="7"/>
  <c r="D20" i="7"/>
  <c r="H20" i="7"/>
  <c r="D21" i="7"/>
  <c r="H21" i="7"/>
  <c r="D22" i="7"/>
  <c r="H22" i="7"/>
  <c r="D23" i="7"/>
  <c r="H23" i="7"/>
  <c r="D24" i="7"/>
  <c r="H24" i="7"/>
  <c r="B5" i="7"/>
  <c r="B9" i="7"/>
  <c r="B13" i="7"/>
  <c r="B17" i="7"/>
  <c r="B21" i="7"/>
  <c r="E5" i="7"/>
  <c r="E6" i="7"/>
  <c r="E7" i="7"/>
  <c r="E11" i="7"/>
  <c r="E12" i="7"/>
  <c r="E13" i="7"/>
  <c r="E14" i="7"/>
  <c r="E15" i="7"/>
  <c r="E16" i="7"/>
  <c r="E17" i="7"/>
  <c r="E18" i="7"/>
  <c r="E19" i="7"/>
  <c r="E20" i="7"/>
  <c r="E21" i="7"/>
  <c r="E22" i="7"/>
  <c r="J10" i="7"/>
  <c r="J12" i="7"/>
  <c r="J14" i="7"/>
  <c r="J16" i="7"/>
  <c r="J18" i="7"/>
  <c r="J20" i="7"/>
  <c r="J22" i="7"/>
  <c r="J24" i="7"/>
  <c r="B15" i="7"/>
  <c r="F12" i="7"/>
  <c r="B11" i="7"/>
  <c r="F11" i="7"/>
  <c r="F13" i="7"/>
  <c r="F15" i="7"/>
  <c r="F17" i="7"/>
  <c r="F19" i="7"/>
  <c r="F21" i="7"/>
  <c r="F23" i="7"/>
  <c r="B19" i="7"/>
  <c r="F14" i="7"/>
  <c r="F16" i="7"/>
  <c r="F18" i="7"/>
  <c r="F20" i="7"/>
  <c r="F22" i="7"/>
  <c r="F24" i="7"/>
  <c r="J11" i="7"/>
  <c r="J13" i="7"/>
  <c r="J15" i="7"/>
  <c r="J17" i="7"/>
  <c r="J19" i="7"/>
  <c r="J21" i="7"/>
  <c r="J23" i="7"/>
  <c r="B7" i="7"/>
  <c r="B23" i="7"/>
  <c r="I4" i="7"/>
  <c r="R4" i="10" l="1"/>
  <c r="Q8" i="10"/>
  <c r="E9" i="1"/>
  <c r="E5" i="1"/>
  <c r="J4" i="7"/>
  <c r="F4" i="7"/>
  <c r="D4" i="7"/>
  <c r="H4" i="7"/>
  <c r="B4" i="7"/>
  <c r="C4" i="7"/>
  <c r="G4" i="7"/>
  <c r="E4" i="7"/>
  <c r="E1" i="10" l="1"/>
  <c r="M39" i="10" l="1"/>
  <c r="M40" i="10"/>
  <c r="M37" i="10"/>
  <c r="M38" i="10"/>
  <c r="M36" i="10"/>
  <c r="M13" i="10"/>
  <c r="M14" i="10"/>
  <c r="M18" i="10"/>
  <c r="M22" i="10"/>
  <c r="M26" i="10"/>
  <c r="M30" i="10"/>
  <c r="M34" i="10"/>
  <c r="M17" i="10"/>
  <c r="M25" i="10"/>
  <c r="M29" i="10"/>
  <c r="M33" i="10"/>
  <c r="M15" i="10"/>
  <c r="M19" i="10"/>
  <c r="M23" i="10"/>
  <c r="M27" i="10"/>
  <c r="M31" i="10"/>
  <c r="M35" i="10"/>
  <c r="M21" i="10"/>
  <c r="M16" i="10"/>
  <c r="M20" i="10"/>
  <c r="M24" i="10"/>
  <c r="M28" i="10"/>
  <c r="M32" i="10"/>
  <c r="H36" i="10"/>
  <c r="I36" i="10" s="1"/>
  <c r="H40" i="10"/>
  <c r="I40" i="10" s="1"/>
  <c r="H39" i="10"/>
  <c r="I39" i="10" s="1"/>
  <c r="H37" i="10"/>
  <c r="L37" i="10" s="1"/>
  <c r="K39" i="10"/>
  <c r="H38" i="10"/>
  <c r="K38" i="10" s="1"/>
  <c r="L39" i="10"/>
  <c r="H14" i="10"/>
  <c r="K14" i="10" s="1"/>
  <c r="H18" i="10"/>
  <c r="K18" i="10" s="1"/>
  <c r="H22" i="10"/>
  <c r="L22" i="10" s="1"/>
  <c r="H26" i="10"/>
  <c r="L26" i="10" s="1"/>
  <c r="H30" i="10"/>
  <c r="K30" i="10" s="1"/>
  <c r="H34" i="10"/>
  <c r="K34" i="10" s="1"/>
  <c r="H15" i="10"/>
  <c r="K15" i="10" s="1"/>
  <c r="H19" i="10"/>
  <c r="K19" i="10" s="1"/>
  <c r="H23" i="10"/>
  <c r="I23" i="10" s="1"/>
  <c r="H27" i="10"/>
  <c r="K27" i="10" s="1"/>
  <c r="H31" i="10"/>
  <c r="K31" i="10" s="1"/>
  <c r="H35" i="10"/>
  <c r="K35" i="10" s="1"/>
  <c r="H16" i="10"/>
  <c r="K16" i="10" s="1"/>
  <c r="H20" i="10"/>
  <c r="K20" i="10" s="1"/>
  <c r="H24" i="10"/>
  <c r="K24" i="10" s="1"/>
  <c r="H28" i="10"/>
  <c r="K28" i="10" s="1"/>
  <c r="H32" i="10"/>
  <c r="K32" i="10" s="1"/>
  <c r="H17" i="10"/>
  <c r="K17" i="10" s="1"/>
  <c r="H21" i="10"/>
  <c r="K21" i="10" s="1"/>
  <c r="H25" i="10"/>
  <c r="I25" i="10" s="1"/>
  <c r="H29" i="10"/>
  <c r="K29" i="10" s="1"/>
  <c r="H33" i="10"/>
  <c r="K33" i="10" s="1"/>
  <c r="H13" i="10"/>
  <c r="K13" i="10" s="1"/>
  <c r="O36" i="10" a="1"/>
  <c r="O36" i="10" s="1"/>
  <c r="O39" i="10" a="1"/>
  <c r="O39" i="10" s="1"/>
  <c r="O37" i="10" a="1"/>
  <c r="O37" i="10" s="1"/>
  <c r="J39" i="10"/>
  <c r="O40" i="10" a="1"/>
  <c r="O40" i="10" s="1"/>
  <c r="J36" i="10"/>
  <c r="J40" i="10"/>
  <c r="J38" i="10"/>
  <c r="O38" i="10" a="1"/>
  <c r="O38" i="10" s="1"/>
  <c r="J37" i="10"/>
  <c r="F36" i="10"/>
  <c r="G36" i="10" s="1"/>
  <c r="F38" i="10"/>
  <c r="G38" i="10" s="1"/>
  <c r="F40" i="10"/>
  <c r="G40" i="10" s="1"/>
  <c r="F37" i="10"/>
  <c r="G37" i="10" s="1"/>
  <c r="F39" i="10"/>
  <c r="G39" i="10" s="1"/>
  <c r="O13" i="10" a="1"/>
  <c r="O13" i="10" s="1"/>
  <c r="O14" i="10" a="1"/>
  <c r="O14" i="10" s="1"/>
  <c r="O16" i="10" a="1"/>
  <c r="O16" i="10" s="1"/>
  <c r="O18" i="10" a="1"/>
  <c r="O18" i="10" s="1"/>
  <c r="O20" i="10" a="1"/>
  <c r="O20" i="10" s="1"/>
  <c r="O22" i="10" a="1"/>
  <c r="O22" i="10" s="1"/>
  <c r="O24" i="10" a="1"/>
  <c r="O24" i="10" s="1"/>
  <c r="O26" i="10" a="1"/>
  <c r="O26" i="10" s="1"/>
  <c r="O28" i="10" a="1"/>
  <c r="O28" i="10" s="1"/>
  <c r="O30" i="10" a="1"/>
  <c r="O30" i="10" s="1"/>
  <c r="O32" i="10" a="1"/>
  <c r="O32" i="10" s="1"/>
  <c r="O34" i="10" a="1"/>
  <c r="O34" i="10" s="1"/>
  <c r="O15" i="10" a="1"/>
  <c r="O15" i="10" s="1"/>
  <c r="O17" i="10" a="1"/>
  <c r="O17" i="10" s="1"/>
  <c r="O19" i="10" a="1"/>
  <c r="O19" i="10" s="1"/>
  <c r="O21" i="10" a="1"/>
  <c r="O21" i="10" s="1"/>
  <c r="O23" i="10" a="1"/>
  <c r="O23" i="10" s="1"/>
  <c r="O25" i="10" a="1"/>
  <c r="O25" i="10" s="1"/>
  <c r="O27" i="10" a="1"/>
  <c r="O27" i="10" s="1"/>
  <c r="O29" i="10" a="1"/>
  <c r="O29" i="10" s="1"/>
  <c r="O31" i="10" a="1"/>
  <c r="O31" i="10" s="1"/>
  <c r="O33" i="10" a="1"/>
  <c r="O33" i="10" s="1"/>
  <c r="O35" i="10" a="1"/>
  <c r="O35" i="10" s="1"/>
  <c r="F26" i="10"/>
  <c r="G26" i="10" s="1"/>
  <c r="F23" i="10"/>
  <c r="G23" i="10" s="1"/>
  <c r="J30" i="10"/>
  <c r="J28" i="10"/>
  <c r="F32" i="10"/>
  <c r="G32" i="10" s="1"/>
  <c r="F16" i="10"/>
  <c r="G16" i="10" s="1"/>
  <c r="F29" i="10"/>
  <c r="G29" i="10" s="1"/>
  <c r="F13" i="10"/>
  <c r="G13" i="10" s="1"/>
  <c r="J23" i="10"/>
  <c r="J15" i="10"/>
  <c r="J14" i="10"/>
  <c r="J29" i="10"/>
  <c r="J21" i="10"/>
  <c r="F30" i="10"/>
  <c r="G30" i="10" s="1"/>
  <c r="F22" i="10"/>
  <c r="G22" i="10" s="1"/>
  <c r="F14" i="10"/>
  <c r="G14" i="10" s="1"/>
  <c r="F35" i="10"/>
  <c r="G35" i="10" s="1"/>
  <c r="F27" i="10"/>
  <c r="G27" i="10" s="1"/>
  <c r="F19" i="10"/>
  <c r="G19" i="10" s="1"/>
  <c r="J13" i="10"/>
  <c r="J34" i="10"/>
  <c r="J26" i="10"/>
  <c r="J32" i="10"/>
  <c r="J24" i="10"/>
  <c r="J16" i="10"/>
  <c r="F34" i="10"/>
  <c r="G34" i="10" s="1"/>
  <c r="F18" i="10"/>
  <c r="G18" i="10" s="1"/>
  <c r="F31" i="10"/>
  <c r="G31" i="10" s="1"/>
  <c r="F15" i="10"/>
  <c r="G15" i="10" s="1"/>
  <c r="J22" i="10"/>
  <c r="J20" i="10"/>
  <c r="F24" i="10"/>
  <c r="G24" i="10" s="1"/>
  <c r="F21" i="10"/>
  <c r="G21" i="10" s="1"/>
  <c r="J31" i="10"/>
  <c r="F28" i="10"/>
  <c r="G28" i="10" s="1"/>
  <c r="F20" i="10"/>
  <c r="G20" i="10" s="1"/>
  <c r="F33" i="10"/>
  <c r="G33" i="10" s="1"/>
  <c r="F25" i="10"/>
  <c r="G25" i="10" s="1"/>
  <c r="F17" i="10"/>
  <c r="G17" i="10" s="1"/>
  <c r="J35" i="10"/>
  <c r="J27" i="10"/>
  <c r="J19" i="10"/>
  <c r="J18" i="10"/>
  <c r="J33" i="10"/>
  <c r="J25" i="10"/>
  <c r="J17" i="10"/>
  <c r="H12" i="10"/>
  <c r="F12" i="10" l="1"/>
  <c r="I38" i="10"/>
  <c r="N38" i="10" s="1"/>
  <c r="L38" i="10"/>
  <c r="K37" i="10"/>
  <c r="K40" i="10"/>
  <c r="L40" i="10"/>
  <c r="I37" i="10"/>
  <c r="K36" i="10"/>
  <c r="L36" i="10"/>
  <c r="L16" i="10"/>
  <c r="L35" i="10"/>
  <c r="L19" i="10"/>
  <c r="L32" i="10"/>
  <c r="L28" i="10"/>
  <c r="L33" i="10"/>
  <c r="L31" i="10"/>
  <c r="L15" i="10"/>
  <c r="L29" i="10"/>
  <c r="L24" i="10"/>
  <c r="L25" i="10"/>
  <c r="L27" i="10"/>
  <c r="L34" i="10"/>
  <c r="L18" i="10"/>
  <c r="L17" i="10"/>
  <c r="L20" i="10"/>
  <c r="L21" i="10"/>
  <c r="L23" i="10"/>
  <c r="L30" i="10"/>
  <c r="L14" i="10"/>
  <c r="I27" i="10"/>
  <c r="I33" i="10"/>
  <c r="L13" i="10"/>
  <c r="I26" i="10"/>
  <c r="K23" i="10"/>
  <c r="I28" i="10"/>
  <c r="I21" i="10"/>
  <c r="I22" i="10"/>
  <c r="I32" i="10"/>
  <c r="I16" i="10"/>
  <c r="I29" i="10"/>
  <c r="I24" i="10"/>
  <c r="I35" i="10"/>
  <c r="I19" i="10"/>
  <c r="I34" i="10"/>
  <c r="I18" i="10"/>
  <c r="I17" i="10"/>
  <c r="I20" i="10"/>
  <c r="I31" i="10"/>
  <c r="I15" i="10"/>
  <c r="I30" i="10"/>
  <c r="I14" i="10"/>
  <c r="K26" i="10"/>
  <c r="I13" i="10"/>
  <c r="K22" i="10"/>
  <c r="K25" i="10"/>
  <c r="N36" i="10"/>
  <c r="R36" i="10" s="1" a="1"/>
  <c r="R36" i="10" s="1"/>
  <c r="N39" i="10"/>
  <c r="G12" i="10"/>
  <c r="V24" i="6" l="1"/>
  <c r="V28" i="6"/>
  <c r="V32" i="6"/>
  <c r="V36" i="6"/>
  <c r="V40" i="6"/>
  <c r="V44" i="6"/>
  <c r="V25" i="6"/>
  <c r="V29" i="6"/>
  <c r="V33" i="6"/>
  <c r="V37" i="6"/>
  <c r="V41" i="6"/>
  <c r="V45" i="6"/>
  <c r="V23" i="6"/>
  <c r="V31" i="6"/>
  <c r="V43" i="6"/>
  <c r="V26" i="6"/>
  <c r="V30" i="6"/>
  <c r="V34" i="6"/>
  <c r="V38" i="6"/>
  <c r="V42" i="6"/>
  <c r="V27" i="6"/>
  <c r="V35" i="6"/>
  <c r="V39" i="6"/>
  <c r="Q46" i="6"/>
  <c r="Q50" i="6"/>
  <c r="T50" i="6" s="1"/>
  <c r="U50" i="6" s="1"/>
  <c r="Q47" i="6"/>
  <c r="Q48" i="6"/>
  <c r="Q49" i="6"/>
  <c r="T46" i="6"/>
  <c r="U46" i="6" s="1"/>
  <c r="T49" i="6"/>
  <c r="U49" i="6" s="1"/>
  <c r="Q23" i="6"/>
  <c r="T23" i="6" s="1"/>
  <c r="U23" i="6" s="1"/>
  <c r="Q27" i="6"/>
  <c r="T27" i="6" s="1"/>
  <c r="U27" i="6" s="1"/>
  <c r="Q31" i="6"/>
  <c r="T31" i="6" s="1"/>
  <c r="U31" i="6" s="1"/>
  <c r="Q35" i="6"/>
  <c r="T35" i="6" s="1"/>
  <c r="U35" i="6" s="1"/>
  <c r="Q39" i="6"/>
  <c r="T39" i="6" s="1"/>
  <c r="U39" i="6" s="1"/>
  <c r="Q43" i="6"/>
  <c r="T43" i="6" s="1"/>
  <c r="U43" i="6" s="1"/>
  <c r="Q29" i="6"/>
  <c r="T29" i="6" s="1"/>
  <c r="U29" i="6" s="1"/>
  <c r="Q33" i="6"/>
  <c r="T33" i="6" s="1"/>
  <c r="U33" i="6" s="1"/>
  <c r="Q41" i="6"/>
  <c r="T41" i="6" s="1"/>
  <c r="U41" i="6" s="1"/>
  <c r="Q30" i="6"/>
  <c r="T30" i="6" s="1"/>
  <c r="U30" i="6" s="1"/>
  <c r="Q38" i="6"/>
  <c r="T38" i="6" s="1"/>
  <c r="U38" i="6" s="1"/>
  <c r="Q24" i="6"/>
  <c r="T24" i="6" s="1"/>
  <c r="U24" i="6" s="1"/>
  <c r="Q28" i="6"/>
  <c r="T28" i="6" s="1"/>
  <c r="U28" i="6" s="1"/>
  <c r="Q32" i="6"/>
  <c r="T32" i="6" s="1"/>
  <c r="U32" i="6" s="1"/>
  <c r="Q36" i="6"/>
  <c r="T36" i="6" s="1"/>
  <c r="U36" i="6" s="1"/>
  <c r="Q40" i="6"/>
  <c r="T40" i="6" s="1"/>
  <c r="U40" i="6" s="1"/>
  <c r="Q44" i="6"/>
  <c r="T44" i="6" s="1"/>
  <c r="U44" i="6" s="1"/>
  <c r="Q25" i="6"/>
  <c r="T25" i="6" s="1"/>
  <c r="U25" i="6" s="1"/>
  <c r="Q37" i="6"/>
  <c r="T37" i="6" s="1"/>
  <c r="U37" i="6" s="1"/>
  <c r="Q45" i="6"/>
  <c r="T45" i="6" s="1"/>
  <c r="U45" i="6" s="1"/>
  <c r="Q26" i="6"/>
  <c r="T26" i="6" s="1"/>
  <c r="U26" i="6" s="1"/>
  <c r="Q34" i="6"/>
  <c r="T34" i="6" s="1"/>
  <c r="U34" i="6" s="1"/>
  <c r="Q42" i="6"/>
  <c r="T42" i="6" s="1"/>
  <c r="U42" i="6" s="1"/>
  <c r="F46" i="6"/>
  <c r="F50" i="6"/>
  <c r="G48" i="6"/>
  <c r="H48" i="6" s="1"/>
  <c r="F47" i="6"/>
  <c r="G49" i="6"/>
  <c r="H49" i="6" s="1"/>
  <c r="I49" i="6" s="1" a="1"/>
  <c r="I49" i="6" s="1"/>
  <c r="F48" i="6"/>
  <c r="G46" i="6"/>
  <c r="H46" i="6" s="1"/>
  <c r="F49" i="6"/>
  <c r="N21" i="10"/>
  <c r="S21" i="10" s="1" a="1"/>
  <c r="S21" i="10" s="1"/>
  <c r="N24" i="10"/>
  <c r="S24" i="10" s="1" a="1"/>
  <c r="S24" i="10" s="1"/>
  <c r="N20" i="10"/>
  <c r="S20" i="10" s="1" a="1"/>
  <c r="S20" i="10" s="1"/>
  <c r="F23" i="6"/>
  <c r="F24" i="6"/>
  <c r="F28" i="6"/>
  <c r="F32" i="6"/>
  <c r="F36" i="6"/>
  <c r="F40" i="6"/>
  <c r="F44" i="6"/>
  <c r="F25" i="6"/>
  <c r="F29" i="6"/>
  <c r="F33" i="6"/>
  <c r="F37" i="6"/>
  <c r="F41" i="6"/>
  <c r="F45" i="6"/>
  <c r="F26" i="6"/>
  <c r="F30" i="6"/>
  <c r="F34" i="6"/>
  <c r="F38" i="6"/>
  <c r="F42" i="6"/>
  <c r="F27" i="6"/>
  <c r="F31" i="6"/>
  <c r="F35" i="6"/>
  <c r="F39" i="6"/>
  <c r="F43" i="6"/>
  <c r="V22" i="6"/>
  <c r="N16" i="10"/>
  <c r="S16" i="10" s="1" a="1"/>
  <c r="S16" i="10" s="1"/>
  <c r="S36" i="10" a="1"/>
  <c r="S36" i="10" s="1"/>
  <c r="N40" i="10"/>
  <c r="S40" i="10" s="1" a="1"/>
  <c r="S40" i="10" s="1"/>
  <c r="R38" i="10" a="1"/>
  <c r="R38" i="10" s="1"/>
  <c r="S38" i="10" a="1"/>
  <c r="S38" i="10" s="1"/>
  <c r="N37" i="10"/>
  <c r="G47" i="6" s="1"/>
  <c r="H47" i="6" s="1"/>
  <c r="S39" i="10" a="1"/>
  <c r="S39" i="10" s="1"/>
  <c r="R39" i="10" a="1"/>
  <c r="R39" i="10" s="1"/>
  <c r="N28" i="10"/>
  <c r="S28" i="10" s="1" a="1"/>
  <c r="S28" i="10" s="1"/>
  <c r="N14" i="10"/>
  <c r="S14" i="10" s="1" a="1"/>
  <c r="S14" i="10" s="1"/>
  <c r="N17" i="10"/>
  <c r="S17" i="10" s="1" a="1"/>
  <c r="S17" i="10" s="1"/>
  <c r="N18" i="10"/>
  <c r="S18" i="10" s="1" a="1"/>
  <c r="S18" i="10" s="1"/>
  <c r="N22" i="10"/>
  <c r="S22" i="10" s="1" a="1"/>
  <c r="S22" i="10" s="1"/>
  <c r="N30" i="10"/>
  <c r="S30" i="10" s="1" a="1"/>
  <c r="S30" i="10" s="1"/>
  <c r="N13" i="10"/>
  <c r="G23" i="6" s="1"/>
  <c r="H23" i="6" s="1"/>
  <c r="N15" i="10"/>
  <c r="S15" i="10" s="1" a="1"/>
  <c r="S15" i="10" s="1"/>
  <c r="N33" i="10"/>
  <c r="S33" i="10" s="1" a="1"/>
  <c r="S33" i="10" s="1"/>
  <c r="N34" i="10"/>
  <c r="S34" i="10" s="1" a="1"/>
  <c r="S34" i="10" s="1"/>
  <c r="N23" i="10"/>
  <c r="G33" i="6" s="1"/>
  <c r="H33" i="6" s="1"/>
  <c r="I33" i="6" s="1" a="1"/>
  <c r="I33" i="6" s="1"/>
  <c r="L33" i="6" s="1"/>
  <c r="N27" i="10"/>
  <c r="S27" i="10" s="1" a="1"/>
  <c r="S27" i="10" s="1"/>
  <c r="N26" i="10"/>
  <c r="S26" i="10" s="1" a="1"/>
  <c r="S26" i="10" s="1"/>
  <c r="N31" i="10"/>
  <c r="S31" i="10" s="1" a="1"/>
  <c r="S31" i="10" s="1"/>
  <c r="N25" i="10"/>
  <c r="S25" i="10" s="1" a="1"/>
  <c r="S25" i="10" s="1"/>
  <c r="R20" i="10" a="1"/>
  <c r="R20" i="10" s="1"/>
  <c r="N32" i="10"/>
  <c r="S32" i="10" s="1" a="1"/>
  <c r="S32" i="10" s="1"/>
  <c r="N35" i="10"/>
  <c r="S35" i="10" s="1" a="1"/>
  <c r="S35" i="10" s="1"/>
  <c r="N29" i="10"/>
  <c r="S29" i="10" s="1" a="1"/>
  <c r="S29" i="10" s="1"/>
  <c r="N19" i="10"/>
  <c r="S19" i="10" s="1" a="1"/>
  <c r="S19" i="10" s="1"/>
  <c r="B11" i="6" l="1"/>
  <c r="B13" i="6" s="1"/>
  <c r="B10" i="6"/>
  <c r="B12" i="6" s="1"/>
  <c r="R17" i="10" a="1"/>
  <c r="R17" i="10" s="1"/>
  <c r="R24" i="10" a="1"/>
  <c r="R24" i="10" s="1"/>
  <c r="Q40" i="10"/>
  <c r="Q39" i="10"/>
  <c r="Q36" i="10"/>
  <c r="T48" i="6"/>
  <c r="U48" i="6" s="1"/>
  <c r="Q38" i="10" s="1"/>
  <c r="R48" i="6"/>
  <c r="S48" i="6"/>
  <c r="T47" i="6"/>
  <c r="U47" i="6" s="1"/>
  <c r="Q37" i="10" s="1"/>
  <c r="R47" i="6"/>
  <c r="S47" i="6"/>
  <c r="S50" i="6"/>
  <c r="R50" i="6"/>
  <c r="S49" i="6"/>
  <c r="R49" i="6"/>
  <c r="S46" i="6"/>
  <c r="R46" i="6"/>
  <c r="Q22" i="6"/>
  <c r="R22" i="6" s="1"/>
  <c r="Q14" i="10"/>
  <c r="Q30" i="10"/>
  <c r="Q33" i="10"/>
  <c r="Q27" i="10"/>
  <c r="Q20" i="10"/>
  <c r="Q13" i="10"/>
  <c r="Q18" i="10"/>
  <c r="Q34" i="10"/>
  <c r="Q15" i="10"/>
  <c r="Q31" i="10"/>
  <c r="Q24" i="10"/>
  <c r="Q21" i="10"/>
  <c r="Q22" i="10"/>
  <c r="Q17" i="10"/>
  <c r="Q19" i="10"/>
  <c r="Q35" i="10"/>
  <c r="Q28" i="10"/>
  <c r="Q29" i="10"/>
  <c r="Q26" i="10"/>
  <c r="Q25" i="10"/>
  <c r="Q23" i="10"/>
  <c r="Q16" i="10"/>
  <c r="Q32" i="10"/>
  <c r="R42" i="6"/>
  <c r="S42" i="6"/>
  <c r="R37" i="6"/>
  <c r="S37" i="6"/>
  <c r="R36" i="6"/>
  <c r="S36" i="6"/>
  <c r="R38" i="6"/>
  <c r="S38" i="6"/>
  <c r="R29" i="6"/>
  <c r="S29" i="6"/>
  <c r="R31" i="6"/>
  <c r="S31" i="6"/>
  <c r="R34" i="6"/>
  <c r="S34" i="6"/>
  <c r="R25" i="6"/>
  <c r="S25" i="6"/>
  <c r="R32" i="6"/>
  <c r="S32" i="6"/>
  <c r="R30" i="6"/>
  <c r="S30" i="6"/>
  <c r="R43" i="6"/>
  <c r="S43" i="6"/>
  <c r="R27" i="6"/>
  <c r="S27" i="6"/>
  <c r="R45" i="6"/>
  <c r="S45" i="6"/>
  <c r="R40" i="6"/>
  <c r="S40" i="6"/>
  <c r="R24" i="6"/>
  <c r="S24" i="6"/>
  <c r="R33" i="6"/>
  <c r="S33" i="6"/>
  <c r="R35" i="6"/>
  <c r="S35" i="6"/>
  <c r="R26" i="6"/>
  <c r="S26" i="6"/>
  <c r="R44" i="6"/>
  <c r="S44" i="6"/>
  <c r="R28" i="6"/>
  <c r="S28" i="6"/>
  <c r="R41" i="6"/>
  <c r="S41" i="6"/>
  <c r="R39" i="6"/>
  <c r="S39" i="6"/>
  <c r="R23" i="6"/>
  <c r="S23" i="6"/>
  <c r="R21" i="10" a="1"/>
  <c r="R21" i="10" s="1"/>
  <c r="M49" i="6"/>
  <c r="L49" i="6"/>
  <c r="J49" i="6"/>
  <c r="K49" i="6" s="1"/>
  <c r="N49" i="6" s="1"/>
  <c r="I48" i="6" a="1"/>
  <c r="I48" i="6" s="1"/>
  <c r="I47" i="6" a="1"/>
  <c r="I47" i="6" s="1"/>
  <c r="I46" i="6" a="1"/>
  <c r="I46" i="6" s="1"/>
  <c r="G50" i="6"/>
  <c r="H50" i="6" s="1"/>
  <c r="R40" i="10" a="1"/>
  <c r="R40" i="10" s="1"/>
  <c r="M33" i="6"/>
  <c r="I23" i="6" a="1"/>
  <c r="I23" i="6" s="1"/>
  <c r="J33" i="6"/>
  <c r="K33" i="6" s="1"/>
  <c r="G31" i="6"/>
  <c r="H31" i="6" s="1"/>
  <c r="G34" i="6"/>
  <c r="H34" i="6" s="1"/>
  <c r="G30" i="6"/>
  <c r="H30" i="6" s="1"/>
  <c r="G22" i="6"/>
  <c r="H22" i="6" s="1"/>
  <c r="R14" i="10" a="1"/>
  <c r="R14" i="10" s="1"/>
  <c r="G37" i="6"/>
  <c r="H37" i="6" s="1"/>
  <c r="G44" i="6"/>
  <c r="H44" i="6" s="1"/>
  <c r="G28" i="6"/>
  <c r="H28" i="6" s="1"/>
  <c r="G35" i="6"/>
  <c r="H35" i="6" s="1"/>
  <c r="G42" i="6"/>
  <c r="H42" i="6" s="1"/>
  <c r="G26" i="6"/>
  <c r="H26" i="6" s="1"/>
  <c r="G40" i="6"/>
  <c r="H40" i="6" s="1"/>
  <c r="G24" i="6"/>
  <c r="H24" i="6" s="1"/>
  <c r="G38" i="6"/>
  <c r="H38" i="6" s="1"/>
  <c r="G45" i="6"/>
  <c r="H45" i="6" s="1"/>
  <c r="G29" i="6"/>
  <c r="H29" i="6" s="1"/>
  <c r="G36" i="6"/>
  <c r="H36" i="6" s="1"/>
  <c r="G43" i="6"/>
  <c r="H43" i="6" s="1"/>
  <c r="G27" i="6"/>
  <c r="H27" i="6" s="1"/>
  <c r="G41" i="6"/>
  <c r="H41" i="6" s="1"/>
  <c r="G25" i="6"/>
  <c r="H25" i="6" s="1"/>
  <c r="G32" i="6"/>
  <c r="H32" i="6" s="1"/>
  <c r="G39" i="6"/>
  <c r="H39" i="6" s="1"/>
  <c r="R16" i="10" a="1"/>
  <c r="R16" i="10" s="1"/>
  <c r="F22" i="6"/>
  <c r="R28" i="10" a="1"/>
  <c r="R28" i="10" s="1"/>
  <c r="R37" i="10" a="1"/>
  <c r="R37" i="10" s="1"/>
  <c r="S37" i="10" a="1"/>
  <c r="S37" i="10" s="1"/>
  <c r="R18" i="10" a="1"/>
  <c r="R18" i="10" s="1"/>
  <c r="R22" i="10" a="1"/>
  <c r="R22" i="10" s="1"/>
  <c r="R27" i="10" a="1"/>
  <c r="R27" i="10" s="1"/>
  <c r="R33" i="10" a="1"/>
  <c r="R33" i="10" s="1"/>
  <c r="S13" i="10" a="1"/>
  <c r="S13" i="10" s="1"/>
  <c r="R13" i="10" a="1"/>
  <c r="R13" i="10" s="1"/>
  <c r="R34" i="10" a="1"/>
  <c r="R34" i="10" s="1"/>
  <c r="R23" i="10" a="1"/>
  <c r="R23" i="10" s="1"/>
  <c r="S23" i="10" a="1"/>
  <c r="S23" i="10" s="1"/>
  <c r="R15" i="10" a="1"/>
  <c r="R15" i="10" s="1"/>
  <c r="R30" i="10" a="1"/>
  <c r="R30" i="10" s="1"/>
  <c r="R26" i="10" a="1"/>
  <c r="R26" i="10" s="1"/>
  <c r="R25" i="10" a="1"/>
  <c r="R25" i="10" s="1"/>
  <c r="R31" i="10" a="1"/>
  <c r="R31" i="10" s="1"/>
  <c r="R29" i="10" a="1"/>
  <c r="R29" i="10" s="1"/>
  <c r="R32" i="10" a="1"/>
  <c r="R32" i="10" s="1"/>
  <c r="R35" i="10" a="1"/>
  <c r="R35" i="10" s="1"/>
  <c r="R19" i="10" a="1"/>
  <c r="R19" i="10" s="1"/>
  <c r="S22" i="6" l="1"/>
  <c r="N33" i="6"/>
  <c r="O33" i="6" s="1"/>
  <c r="P33" i="6" s="1"/>
  <c r="P23" i="10" s="1"/>
  <c r="T23" i="10" s="1"/>
  <c r="U23" i="10" s="1"/>
  <c r="L46" i="6"/>
  <c r="J46" i="6"/>
  <c r="K46" i="6" s="1"/>
  <c r="N46" i="6" s="1"/>
  <c r="M46" i="6"/>
  <c r="I50" i="6" a="1"/>
  <c r="I50" i="6" s="1"/>
  <c r="L47" i="6"/>
  <c r="M47" i="6"/>
  <c r="J47" i="6"/>
  <c r="K47" i="6" s="1"/>
  <c r="O49" i="6"/>
  <c r="P49" i="6" s="1"/>
  <c r="P39" i="10" s="1"/>
  <c r="T39" i="10" s="1"/>
  <c r="U39" i="10" s="1"/>
  <c r="J48" i="6"/>
  <c r="K48" i="6" s="1"/>
  <c r="L48" i="6"/>
  <c r="M48" i="6"/>
  <c r="L23" i="6"/>
  <c r="M23" i="6"/>
  <c r="I25" i="6" a="1"/>
  <c r="I25" i="6" s="1"/>
  <c r="M25" i="6" s="1"/>
  <c r="I36" i="6" a="1"/>
  <c r="I36" i="6" s="1"/>
  <c r="J36" i="6" s="1"/>
  <c r="K36" i="6" s="1"/>
  <c r="I24" i="6" a="1"/>
  <c r="I24" i="6" s="1"/>
  <c r="J24" i="6" s="1"/>
  <c r="K24" i="6" s="1"/>
  <c r="I35" i="6" a="1"/>
  <c r="I35" i="6" s="1"/>
  <c r="I31" i="6" a="1"/>
  <c r="I31" i="6" s="1"/>
  <c r="M31" i="6" s="1"/>
  <c r="I41" i="6" a="1"/>
  <c r="I41" i="6" s="1"/>
  <c r="I29" i="6" a="1"/>
  <c r="I29" i="6" s="1"/>
  <c r="I40" i="6" a="1"/>
  <c r="I40" i="6" s="1"/>
  <c r="I28" i="6" a="1"/>
  <c r="I28" i="6" s="1"/>
  <c r="M28" i="6" s="1"/>
  <c r="I39" i="6" a="1"/>
  <c r="I39" i="6" s="1"/>
  <c r="I27" i="6" a="1"/>
  <c r="I27" i="6" s="1"/>
  <c r="I45" i="6" a="1"/>
  <c r="I45" i="6" s="1"/>
  <c r="I26" i="6" a="1"/>
  <c r="I26" i="6" s="1"/>
  <c r="M26" i="6" s="1"/>
  <c r="I44" i="6" a="1"/>
  <c r="I44" i="6" s="1"/>
  <c r="I30" i="6" a="1"/>
  <c r="I30" i="6" s="1"/>
  <c r="J30" i="6" s="1"/>
  <c r="K30" i="6" s="1"/>
  <c r="I32" i="6" a="1"/>
  <c r="I32" i="6" s="1"/>
  <c r="I43" i="6" a="1"/>
  <c r="I43" i="6" s="1"/>
  <c r="I38" i="6" a="1"/>
  <c r="I38" i="6" s="1"/>
  <c r="I42" i="6" a="1"/>
  <c r="I42" i="6" s="1"/>
  <c r="I37" i="6" a="1"/>
  <c r="I37" i="6" s="1"/>
  <c r="I34" i="6" a="1"/>
  <c r="I34" i="6" s="1"/>
  <c r="J23" i="6"/>
  <c r="K23" i="6" s="1"/>
  <c r="L31" i="6" l="1"/>
  <c r="L25" i="6"/>
  <c r="J28" i="6"/>
  <c r="K28" i="6" s="1"/>
  <c r="N28" i="6" s="1"/>
  <c r="J25" i="6"/>
  <c r="K25" i="6" s="1"/>
  <c r="N25" i="6" s="1"/>
  <c r="L28" i="6"/>
  <c r="J31" i="6"/>
  <c r="K31" i="6" s="1"/>
  <c r="N31" i="6" s="1"/>
  <c r="N23" i="6"/>
  <c r="O23" i="6" s="1"/>
  <c r="P23" i="6" s="1"/>
  <c r="P13" i="10" s="1"/>
  <c r="T13" i="10" s="1"/>
  <c r="U13" i="10" s="1"/>
  <c r="N47" i="6"/>
  <c r="O47" i="6" s="1"/>
  <c r="P47" i="6" s="1"/>
  <c r="P37" i="10" s="1"/>
  <c r="T37" i="10" s="1"/>
  <c r="U37" i="10" s="1"/>
  <c r="M50" i="6"/>
  <c r="L50" i="6"/>
  <c r="J50" i="6"/>
  <c r="K50" i="6" s="1"/>
  <c r="N50" i="6" s="1"/>
  <c r="N48" i="6"/>
  <c r="O48" i="6" s="1"/>
  <c r="P48" i="6" s="1"/>
  <c r="P38" i="10" s="1"/>
  <c r="T38" i="10" s="1"/>
  <c r="U38" i="10" s="1"/>
  <c r="O46" i="6"/>
  <c r="P46" i="6" s="1"/>
  <c r="P36" i="10" s="1"/>
  <c r="T36" i="10" s="1"/>
  <c r="U36" i="10" s="1"/>
  <c r="L26" i="6"/>
  <c r="J26" i="6"/>
  <c r="K26" i="6" s="1"/>
  <c r="N26" i="6" s="1"/>
  <c r="L38" i="6"/>
  <c r="M38" i="6"/>
  <c r="L41" i="6"/>
  <c r="M41" i="6"/>
  <c r="J41" i="6"/>
  <c r="K41" i="6" s="1"/>
  <c r="L34" i="6"/>
  <c r="M34" i="6"/>
  <c r="L43" i="6"/>
  <c r="M43" i="6"/>
  <c r="L39" i="6"/>
  <c r="M39" i="6"/>
  <c r="J39" i="6"/>
  <c r="K39" i="6" s="1"/>
  <c r="L37" i="6"/>
  <c r="M37" i="6"/>
  <c r="J32" i="6"/>
  <c r="K32" i="6" s="1"/>
  <c r="M32" i="6"/>
  <c r="L45" i="6"/>
  <c r="M45" i="6"/>
  <c r="L40" i="6"/>
  <c r="M40" i="6"/>
  <c r="L35" i="6"/>
  <c r="M35" i="6"/>
  <c r="L44" i="6"/>
  <c r="M44" i="6"/>
  <c r="L36" i="6"/>
  <c r="M36" i="6"/>
  <c r="N36" i="6" s="1"/>
  <c r="J44" i="6"/>
  <c r="K44" i="6" s="1"/>
  <c r="L42" i="6"/>
  <c r="M42" i="6"/>
  <c r="L30" i="6"/>
  <c r="M30" i="6"/>
  <c r="N30" i="6" s="1"/>
  <c r="L27" i="6"/>
  <c r="M27" i="6"/>
  <c r="J29" i="6"/>
  <c r="K29" i="6" s="1"/>
  <c r="M29" i="6"/>
  <c r="L24" i="6"/>
  <c r="M24" i="6"/>
  <c r="N24" i="6" s="1"/>
  <c r="J35" i="6"/>
  <c r="K35" i="6" s="1"/>
  <c r="N35" i="6" s="1"/>
  <c r="L29" i="6"/>
  <c r="J27" i="6"/>
  <c r="K27" i="6" s="1"/>
  <c r="J45" i="6"/>
  <c r="K45" i="6" s="1"/>
  <c r="L32" i="6"/>
  <c r="J40" i="6"/>
  <c r="K40" i="6" s="1"/>
  <c r="J37" i="6"/>
  <c r="K37" i="6" s="1"/>
  <c r="J38" i="6"/>
  <c r="K38" i="6" s="1"/>
  <c r="J34" i="6"/>
  <c r="K34" i="6" s="1"/>
  <c r="J42" i="6"/>
  <c r="K42" i="6" s="1"/>
  <c r="J43" i="6"/>
  <c r="K43" i="6" s="1"/>
  <c r="O31" i="6" l="1"/>
  <c r="P31" i="6" s="1"/>
  <c r="P21" i="10" s="1"/>
  <c r="T21" i="10" s="1"/>
  <c r="U21" i="10" s="1"/>
  <c r="O25" i="6"/>
  <c r="P25" i="6" s="1"/>
  <c r="P15" i="10" s="1"/>
  <c r="T15" i="10" s="1"/>
  <c r="U15" i="10" s="1"/>
  <c r="O28" i="6"/>
  <c r="P28" i="6" s="1"/>
  <c r="P18" i="10" s="1"/>
  <c r="T18" i="10" s="1"/>
  <c r="U18" i="10" s="1"/>
  <c r="N43" i="6"/>
  <c r="O43" i="6" s="1"/>
  <c r="P43" i="6" s="1"/>
  <c r="P33" i="10" s="1"/>
  <c r="T33" i="10" s="1"/>
  <c r="U33" i="10" s="1"/>
  <c r="N42" i="6"/>
  <c r="O42" i="6" s="1"/>
  <c r="P42" i="6" s="1"/>
  <c r="P32" i="10" s="1"/>
  <c r="T32" i="10" s="1"/>
  <c r="U32" i="10" s="1"/>
  <c r="O50" i="6"/>
  <c r="P50" i="6" s="1"/>
  <c r="P40" i="10" s="1"/>
  <c r="T40" i="10" s="1"/>
  <c r="U40" i="10" s="1"/>
  <c r="N27" i="6"/>
  <c r="O27" i="6" s="1"/>
  <c r="P27" i="6" s="1"/>
  <c r="P17" i="10" s="1"/>
  <c r="T17" i="10" s="1"/>
  <c r="U17" i="10" s="1"/>
  <c r="O24" i="6"/>
  <c r="P24" i="6" s="1"/>
  <c r="P14" i="10" s="1"/>
  <c r="T14" i="10" s="1"/>
  <c r="U14" i="10" s="1"/>
  <c r="N39" i="6"/>
  <c r="O39" i="6" s="1"/>
  <c r="P39" i="6" s="1"/>
  <c r="P29" i="10" s="1"/>
  <c r="T29" i="10" s="1"/>
  <c r="U29" i="10" s="1"/>
  <c r="N38" i="6"/>
  <c r="O38" i="6" s="1"/>
  <c r="P38" i="6" s="1"/>
  <c r="P28" i="10" s="1"/>
  <c r="T28" i="10" s="1"/>
  <c r="U28" i="10" s="1"/>
  <c r="N45" i="6"/>
  <c r="O45" i="6" s="1"/>
  <c r="P45" i="6" s="1"/>
  <c r="P35" i="10" s="1"/>
  <c r="T35" i="10" s="1"/>
  <c r="U35" i="10" s="1"/>
  <c r="O36" i="6"/>
  <c r="P36" i="6" s="1"/>
  <c r="P26" i="10" s="1"/>
  <c r="T26" i="10" s="1"/>
  <c r="U26" i="10" s="1"/>
  <c r="N37" i="6"/>
  <c r="O37" i="6" s="1"/>
  <c r="P37" i="6" s="1"/>
  <c r="P27" i="10" s="1"/>
  <c r="T27" i="10" s="1"/>
  <c r="U27" i="10" s="1"/>
  <c r="O30" i="6"/>
  <c r="P30" i="6" s="1"/>
  <c r="P20" i="10" s="1"/>
  <c r="T20" i="10" s="1"/>
  <c r="U20" i="10" s="1"/>
  <c r="O35" i="6"/>
  <c r="P35" i="6" s="1"/>
  <c r="P25" i="10" s="1"/>
  <c r="T25" i="10" s="1"/>
  <c r="U25" i="10" s="1"/>
  <c r="O26" i="6"/>
  <c r="P26" i="6" s="1"/>
  <c r="P16" i="10" s="1"/>
  <c r="T16" i="10" s="1"/>
  <c r="U16" i="10" s="1"/>
  <c r="N40" i="6"/>
  <c r="O40" i="6" s="1"/>
  <c r="P40" i="6" s="1"/>
  <c r="P30" i="10" s="1"/>
  <c r="T30" i="10" s="1"/>
  <c r="U30" i="10" s="1"/>
  <c r="N34" i="6"/>
  <c r="O34" i="6" s="1"/>
  <c r="P34" i="6" s="1"/>
  <c r="P24" i="10" s="1"/>
  <c r="T24" i="10" s="1"/>
  <c r="U24" i="10" s="1"/>
  <c r="N41" i="6"/>
  <c r="O41" i="6" s="1"/>
  <c r="P41" i="6" s="1"/>
  <c r="P31" i="10" s="1"/>
  <c r="T31" i="10" s="1"/>
  <c r="U31" i="10" s="1"/>
  <c r="N44" i="6"/>
  <c r="O44" i="6" s="1"/>
  <c r="P44" i="6" s="1"/>
  <c r="P34" i="10" s="1"/>
  <c r="T34" i="10" s="1"/>
  <c r="U34" i="10" s="1"/>
  <c r="N32" i="6"/>
  <c r="O32" i="6" s="1"/>
  <c r="P32" i="6" s="1"/>
  <c r="P22" i="10" s="1"/>
  <c r="T22" i="10" s="1"/>
  <c r="U22" i="10" s="1"/>
  <c r="N29" i="6"/>
  <c r="O29" i="6" s="1"/>
  <c r="P29" i="6" s="1"/>
  <c r="P19" i="10" s="1"/>
  <c r="T19" i="10" s="1"/>
  <c r="U19" i="10" s="1"/>
  <c r="M6" i="10" l="1"/>
  <c r="L7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7D61656-081B-49ED-8CF9-88E159F98EF0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2" xr16:uid="{CD19CE09-ECA0-4E03-BA22-E445D0673AF2}" keepAlive="1" name="Query - Parameter2" description="Connection to the 'Parameter2' query in the workbook." type="5" refreshedVersion="0" background="1">
    <dbPr connection="Provider=Microsoft.Mashup.OleDb.1;Data Source=$Workbook$;Location=Parameter2;Extended Properties=&quot;&quot;" command="SELECT * FROM [Parameter2]"/>
  </connection>
  <connection id="3" xr16:uid="{A4062A65-D530-475A-97B1-5B22B9239601}" keepAlive="1" name="Query - Parameter3" description="Connection to the 'Parameter3' query in the workbook." type="5" refreshedVersion="0" background="1">
    <dbPr connection="Provider=Microsoft.Mashup.OleDb.1;Data Source=$Workbook$;Location=Parameter3;Extended Properties=&quot;&quot;" command="SELECT * FROM [Parameter3]"/>
  </connection>
  <connection id="4" xr16:uid="{037F1AC3-AD03-4FC2-905B-60C640432836}" keepAlive="1" name="Query - Parameter4" description="Connection to the 'Parameter4' query in the workbook." type="5" refreshedVersion="0" background="1">
    <dbPr connection="Provider=Microsoft.Mashup.OleDb.1;Data Source=$Workbook$;Location=Parameter4;Extended Properties=&quot;&quot;" command="SELECT * FROM [Parameter4]"/>
  </connection>
  <connection id="5" xr16:uid="{B1761100-AB95-4D86-8B1C-60FD1964260D}" keepAlive="1" name="Query - Parameter5" description="Connection to the 'Parameter5' query in the workbook." type="5" refreshedVersion="0" background="1">
    <dbPr connection="Provider=Microsoft.Mashup.OleDb.1;Data Source=$Workbook$;Location=Parameter5;Extended Properties=&quot;&quot;" command="SELECT * FROM [Parameter5]"/>
  </connection>
  <connection id="6" xr16:uid="{CA2025C0-9A4B-40F2-9C48-C869DB99F882}" keepAlive="1" name="Query - Parameter6" description="Connection to the 'Parameter6' query in the workbook." type="5" refreshedVersion="0" background="1">
    <dbPr connection="Provider=Microsoft.Mashup.OleDb.1;Data Source=$Workbook$;Location=Parameter6;Extended Properties=&quot;&quot;" command="SELECT * FROM [Parameter6]"/>
  </connection>
  <connection id="7" xr16:uid="{B49B5F38-B994-4B58-ABD6-A71282B18931}" keepAlive="1" name="Query - Parameter7" description="Connection to the 'Parameter7' query in the workbook." type="5" refreshedVersion="0" background="1">
    <dbPr connection="Provider=Microsoft.Mashup.OleDb.1;Data Source=$Workbook$;Location=Parameter7;Extended Properties=&quot;&quot;" command="SELECT * FROM [Parameter7]"/>
  </connection>
  <connection id="8" xr16:uid="{8EA5D7FB-01EB-4D83-A370-9F7E34FE7888}" keepAlive="1" name="Query - Parameter8" description="Connection to the 'Parameter8' query in the workbook." type="5" refreshedVersion="0" background="1">
    <dbPr connection="Provider=Microsoft.Mashup.OleDb.1;Data Source=$Workbook$;Location=Parameter8;Extended Properties=&quot;&quot;" command="SELECT * FROM [Parameter8]"/>
  </connection>
  <connection id="9" xr16:uid="{2974EBBB-60D4-48EB-BABB-D41A0E151DAC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10" xr16:uid="{E15FBDF8-55D4-4007-B080-A213C6B34771}" keepAlive="1" name="Query - Sample File (2)" description="Connection to the 'Sample File (2)' query in the workbook." type="5" refreshedVersion="0" background="1">
    <dbPr connection="Provider=Microsoft.Mashup.OleDb.1;Data Source=$Workbook$;Location=&quot;Sample File (2)&quot;;Extended Properties=&quot;&quot;" command="SELECT * FROM [Sample File (2)]"/>
  </connection>
  <connection id="11" xr16:uid="{B98ECFB9-CE43-4DBC-BBC7-7B5263676798}" keepAlive="1" name="Query - Sample File (3)" description="Connection to the 'Sample File (3)' query in the workbook." type="5" refreshedVersion="0" background="1">
    <dbPr connection="Provider=Microsoft.Mashup.OleDb.1;Data Source=$Workbook$;Location=&quot;Sample File (3)&quot;;Extended Properties=&quot;&quot;" command="SELECT * FROM [Sample File (3)]"/>
  </connection>
  <connection id="12" xr16:uid="{429B62F7-0909-4631-A092-B4FF8A392B84}" keepAlive="1" name="Query - Sample File (4)" description="Connection to the 'Sample File (4)' query in the workbook." type="5" refreshedVersion="0" background="1">
    <dbPr connection="Provider=Microsoft.Mashup.OleDb.1;Data Source=$Workbook$;Location=&quot;Sample File (4)&quot;;Extended Properties=&quot;&quot;" command="SELECT * FROM [Sample File (4)]"/>
  </connection>
  <connection id="13" xr16:uid="{DBBA2AA0-C454-4A78-81A1-39AEA353033E}" keepAlive="1" name="Query - Sample File (5)" description="Connection to the 'Sample File (5)' query in the workbook." type="5" refreshedVersion="0" background="1">
    <dbPr connection="Provider=Microsoft.Mashup.OleDb.1;Data Source=$Workbook$;Location=&quot;Sample File (5)&quot;;Extended Properties=&quot;&quot;" command="SELECT * FROM [Sample File (5)]"/>
  </connection>
  <connection id="14" xr16:uid="{C1D7ACF1-0BB9-4E8E-B388-80C05C9D45BA}" keepAlive="1" name="Query - Sample File (6)" description="Connection to the 'Sample File (6)' query in the workbook." type="5" refreshedVersion="0" background="1">
    <dbPr connection="Provider=Microsoft.Mashup.OleDb.1;Data Source=$Workbook$;Location=&quot;Sample File (6)&quot;;Extended Properties=&quot;&quot;" command="SELECT * FROM [Sample File (6)]"/>
  </connection>
  <connection id="15" xr16:uid="{A9B7A25E-E0FC-466A-993E-F287FED840DB}" keepAlive="1" name="Query - Sample File (7)" description="Connection to the 'Sample File (7)' query in the workbook." type="5" refreshedVersion="0" background="1">
    <dbPr connection="Provider=Microsoft.Mashup.OleDb.1;Data Source=$Workbook$;Location=&quot;Sample File (7)&quot;;Extended Properties=&quot;&quot;" command="SELECT * FROM [Sample File (7)]"/>
  </connection>
  <connection id="16" xr16:uid="{8895EFB3-7524-42D3-A953-B43F842480C8}" keepAlive="1" name="Query - Sample File (8)" description="Connection to the 'Sample File (8)' query in the workbook." type="5" refreshedVersion="0" background="1">
    <dbPr connection="Provider=Microsoft.Mashup.OleDb.1;Data Source=$Workbook$;Location=&quot;Sample File (8)&quot;;Extended Properties=&quot;&quot;" command="SELECT * FROM [Sample File (8)]"/>
  </connection>
  <connection id="17" xr16:uid="{3AB92AB3-7AB0-478C-8520-B290F5A1FA16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18" xr16:uid="{DC8096B1-5574-48DD-86C9-6A13BEC72E34}" keepAlive="1" name="Query - Transform File (2)" description="Connection to the 'Transform File (2)' query in the workbook." type="5" refreshedVersion="0" background="1">
    <dbPr connection="Provider=Microsoft.Mashup.OleDb.1;Data Source=$Workbook$;Location=&quot;Transform File (2)&quot;;Extended Properties=&quot;&quot;" command="SELECT * FROM [Transform File (2)]"/>
  </connection>
  <connection id="19" xr16:uid="{3BA142D3-392B-4531-B6B6-B60C49AECC19}" keepAlive="1" name="Query - Transform File (3)" description="Connection to the 'Transform File (3)' query in the workbook." type="5" refreshedVersion="0" background="1">
    <dbPr connection="Provider=Microsoft.Mashup.OleDb.1;Data Source=$Workbook$;Location=&quot;Transform File (3)&quot;;Extended Properties=&quot;&quot;" command="SELECT * FROM [Transform File (3)]"/>
  </connection>
  <connection id="20" xr16:uid="{B7012D66-39CC-4CB0-B751-8518970CF7DE}" keepAlive="1" name="Query - Transform File (4)" description="Connection to the 'Transform File (4)' query in the workbook." type="5" refreshedVersion="0" background="1">
    <dbPr connection="Provider=Microsoft.Mashup.OleDb.1;Data Source=$Workbook$;Location=&quot;Transform File (4)&quot;;Extended Properties=&quot;&quot;" command="SELECT * FROM [Transform File (4)]"/>
  </connection>
  <connection id="21" xr16:uid="{FB4607E7-937A-40AC-BF29-A8C3A03E4501}" keepAlive="1" name="Query - Transform File (5)" description="Connection to the 'Transform File (5)' query in the workbook." type="5" refreshedVersion="0" background="1">
    <dbPr connection="Provider=Microsoft.Mashup.OleDb.1;Data Source=$Workbook$;Location=&quot;Transform File (5)&quot;;Extended Properties=&quot;&quot;" command="SELECT * FROM [Transform File (5)]"/>
  </connection>
  <connection id="22" xr16:uid="{E67A1CAC-E1D9-474B-B608-3070F90F98FF}" keepAlive="1" name="Query - Transform File (6)" description="Connection to the 'Transform File (6)' query in the workbook." type="5" refreshedVersion="0" background="1">
    <dbPr connection="Provider=Microsoft.Mashup.OleDb.1;Data Source=$Workbook$;Location=&quot;Transform File (6)&quot;;Extended Properties=&quot;&quot;" command="SELECT * FROM [Transform File (6)]"/>
  </connection>
  <connection id="23" xr16:uid="{AC6C64BB-3314-47CC-903B-C467E1D519BB}" keepAlive="1" name="Query - Transform File (7)" description="Connection to the 'Transform File (7)' query in the workbook." type="5" refreshedVersion="0" background="1">
    <dbPr connection="Provider=Microsoft.Mashup.OleDb.1;Data Source=$Workbook$;Location=&quot;Transform File (7)&quot;;Extended Properties=&quot;&quot;" command="SELECT * FROM [Transform File (7)]"/>
  </connection>
  <connection id="24" xr16:uid="{93EFDE47-6DE5-42C1-9EFF-068A4CEC573F}" keepAlive="1" name="Query - Transform File (8)" description="Connection to the 'Transform File (8)' query in the workbook." type="5" refreshedVersion="0" background="1">
    <dbPr connection="Provider=Microsoft.Mashup.OleDb.1;Data Source=$Workbook$;Location=&quot;Transform File (8)&quot;;Extended Properties=&quot;&quot;" command="SELECT * FROM [Transform File (8)]"/>
  </connection>
  <connection id="25" xr16:uid="{1A25C820-23A3-4257-9E95-5CDF516A4D4C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  <connection id="26" xr16:uid="{90B23B58-CE1A-4FCC-8B2B-88421361FC3E}" keepAlive="1" name="Query - Transform Sample File (2)" description="Connection to the 'Transform Sample File (2)' query in the workbook." type="5" refreshedVersion="0" background="1">
    <dbPr connection="Provider=Microsoft.Mashup.OleDb.1;Data Source=$Workbook$;Location=&quot;Transform Sample File (2)&quot;;Extended Properties=&quot;&quot;" command="SELECT * FROM [Transform Sample File (2)]"/>
  </connection>
  <connection id="27" xr16:uid="{126413D2-CA27-4BAA-A841-EAD4596E71DF}" keepAlive="1" name="Query - Transform Sample File (3)" description="Connection to the 'Transform Sample File (3)' query in the workbook." type="5" refreshedVersion="0" background="1">
    <dbPr connection="Provider=Microsoft.Mashup.OleDb.1;Data Source=$Workbook$;Location=&quot;Transform Sample File (3)&quot;;Extended Properties=&quot;&quot;" command="SELECT * FROM [Transform Sample File (3)]"/>
  </connection>
  <connection id="28" xr16:uid="{32729D7D-71ED-4269-B951-B98654CFB4DE}" keepAlive="1" name="Query - Transform Sample File (4)" description="Connection to the 'Transform Sample File (4)' query in the workbook." type="5" refreshedVersion="0" background="1">
    <dbPr connection="Provider=Microsoft.Mashup.OleDb.1;Data Source=$Workbook$;Location=&quot;Transform Sample File (4)&quot;;Extended Properties=&quot;&quot;" command="SELECT * FROM [Transform Sample File (4)]"/>
  </connection>
  <connection id="29" xr16:uid="{D8F2F72B-545E-488E-87F2-5CA1BB4E333C}" keepAlive="1" name="Query - Transform Sample File (5)" description="Connection to the 'Transform Sample File (5)' query in the workbook." type="5" refreshedVersion="0" background="1">
    <dbPr connection="Provider=Microsoft.Mashup.OleDb.1;Data Source=$Workbook$;Location=&quot;Transform Sample File (5)&quot;;Extended Properties=&quot;&quot;" command="SELECT * FROM [Transform Sample File (5)]"/>
  </connection>
  <connection id="30" xr16:uid="{E97C7427-19AD-4E70-A9B7-BF115DF9EA35}" keepAlive="1" name="Query - Transform Sample File (6)" description="Connection to the 'Transform Sample File (6)' query in the workbook." type="5" refreshedVersion="0" background="1">
    <dbPr connection="Provider=Microsoft.Mashup.OleDb.1;Data Source=$Workbook$;Location=&quot;Transform Sample File (6)&quot;;Extended Properties=&quot;&quot;" command="SELECT * FROM [Transform Sample File (6)]"/>
  </connection>
  <connection id="31" xr16:uid="{38EF2C86-286E-4D87-8B1D-215D7AC6FCD8}" keepAlive="1" name="Query - Transform Sample File (7)" description="Connection to the 'Transform Sample File (7)' query in the workbook." type="5" refreshedVersion="0" background="1">
    <dbPr connection="Provider=Microsoft.Mashup.OleDb.1;Data Source=$Workbook$;Location=&quot;Transform Sample File (7)&quot;;Extended Properties=&quot;&quot;" command="SELECT * FROM [Transform Sample File (7)]"/>
  </connection>
  <connection id="32" xr16:uid="{2257204E-756C-4E57-A775-4CCD40D1684E}" keepAlive="1" name="Query - Transform Sample File (8)" description="Connection to the 'Transform Sample File (8)' query in the workbook." type="5" refreshedVersion="0" background="1">
    <dbPr connection="Provider=Microsoft.Mashup.OleDb.1;Data Source=$Workbook$;Location=&quot;Transform Sample File (8)&quot;;Extended Properties=&quot;&quot;" command="SELECT * FROM [Transform Sample File (8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<sst xmlns="http://schemas.openxmlformats.org/spreadsheetml/2006/main" count="104" uniqueCount="92">
  <si>
    <t>Employee ID</t>
  </si>
  <si>
    <t>Employee Name</t>
  </si>
  <si>
    <t>Designation</t>
  </si>
  <si>
    <t>Joining Date</t>
  </si>
  <si>
    <t>Exit Date</t>
  </si>
  <si>
    <t>Service Duration</t>
  </si>
  <si>
    <t>Confirmation Status</t>
  </si>
  <si>
    <t>Employement type</t>
  </si>
  <si>
    <t>Gross Salary</t>
  </si>
  <si>
    <t>E-mail Address</t>
  </si>
  <si>
    <t xml:space="preserve">BV/HR/ 2021|01 </t>
  </si>
  <si>
    <t>CEO</t>
  </si>
  <si>
    <t>HR Manager</t>
  </si>
  <si>
    <t>Accountant</t>
  </si>
  <si>
    <t>EMPLOYEE REGISTER</t>
  </si>
  <si>
    <t>Information Contained on this register is highly confidential.</t>
  </si>
  <si>
    <t>CURRENT EMPLOYEES</t>
  </si>
  <si>
    <t>EX-EMPLOYEES</t>
  </si>
  <si>
    <t>Employees</t>
  </si>
  <si>
    <t>SELECT:</t>
  </si>
  <si>
    <t>Date</t>
  </si>
  <si>
    <t>Payroll Month</t>
  </si>
  <si>
    <t>Total Head Count for this Payroll</t>
  </si>
  <si>
    <t>Male</t>
  </si>
  <si>
    <t>Female</t>
  </si>
  <si>
    <t>Male %</t>
  </si>
  <si>
    <t>Female %</t>
  </si>
  <si>
    <t>Gender</t>
  </si>
  <si>
    <t>Basic Salary</t>
  </si>
  <si>
    <t>ALL EMPLOYEES</t>
  </si>
  <si>
    <t>Medical Allowance</t>
  </si>
  <si>
    <t>House Allowance</t>
  </si>
  <si>
    <t>Arreras</t>
  </si>
  <si>
    <t>INCOME</t>
  </si>
  <si>
    <t>Tax</t>
  </si>
  <si>
    <t>PF</t>
  </si>
  <si>
    <t>Others</t>
  </si>
  <si>
    <t>Net Salary</t>
  </si>
  <si>
    <t>DEDUCTIONS</t>
  </si>
  <si>
    <t>Travel Allowance</t>
  </si>
  <si>
    <t>Mobile Allowance</t>
  </si>
  <si>
    <t>Leaves Without Pay</t>
  </si>
  <si>
    <t>Total Deductions</t>
  </si>
  <si>
    <t>Leaves Without Pay Deduction</t>
  </si>
  <si>
    <t>HEADCOUNT</t>
  </si>
  <si>
    <t>APPROVED BY</t>
  </si>
  <si>
    <t>TAX CALCULATION</t>
  </si>
  <si>
    <t>Tax Classes</t>
  </si>
  <si>
    <t>Lowest Range</t>
  </si>
  <si>
    <t>Max Range</t>
  </si>
  <si>
    <t>B</t>
  </si>
  <si>
    <t>A</t>
  </si>
  <si>
    <t>C</t>
  </si>
  <si>
    <t>D</t>
  </si>
  <si>
    <t>E</t>
  </si>
  <si>
    <t>F</t>
  </si>
  <si>
    <t>2.5 % on the inclome more than 600000</t>
  </si>
  <si>
    <t>Fixed Tax</t>
  </si>
  <si>
    <t>Variable Tax</t>
  </si>
  <si>
    <t>12.5 % on the inclome more than 1200000</t>
  </si>
  <si>
    <t>20 % on the inclome more than 2400000</t>
  </si>
  <si>
    <t>25 % on the inclome more than 3600000</t>
  </si>
  <si>
    <t>32.5 % on the inclome more than 6000000</t>
  </si>
  <si>
    <t>35 % on the inclome more than 12000000</t>
  </si>
  <si>
    <t>NEW Per Annum</t>
  </si>
  <si>
    <t>Employees ID</t>
  </si>
  <si>
    <t>Name</t>
  </si>
  <si>
    <t>Monthly Salary</t>
  </si>
  <si>
    <t>Annual Salary</t>
  </si>
  <si>
    <t>Monthly Taxable Income</t>
  </si>
  <si>
    <t>Tax Slab</t>
  </si>
  <si>
    <t>G</t>
  </si>
  <si>
    <t>Annual Fixed Tax</t>
  </si>
  <si>
    <t>Variable Tax Rate</t>
  </si>
  <si>
    <t>Annual Variable Tax</t>
  </si>
  <si>
    <t>ANNUAL TAX</t>
  </si>
  <si>
    <t>Monthly Tax</t>
  </si>
  <si>
    <t>Approved By:</t>
  </si>
  <si>
    <t>Joining Month</t>
  </si>
  <si>
    <t>Joining Year</t>
  </si>
  <si>
    <t>After 3 Month of Joining</t>
  </si>
  <si>
    <t>PF or NO</t>
  </si>
  <si>
    <t xml:space="preserve">TOTAL PAYROLL :      </t>
  </si>
  <si>
    <t>New HIRINGS in past 3 Months</t>
  </si>
  <si>
    <t xml:space="preserve"> </t>
  </si>
  <si>
    <t>Joining_Date</t>
  </si>
  <si>
    <t>Hiring Trend Graph</t>
  </si>
  <si>
    <t>ID</t>
  </si>
  <si>
    <t>Employees Hired in Last 3 Months</t>
  </si>
  <si>
    <t>GRAPH DATA</t>
  </si>
  <si>
    <t>It Needs to be Updated every month</t>
  </si>
  <si>
    <t>PAYROLL MANAGEMENT SYSTEM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</si>
</sst>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Rs&quot;* #,##0.00_-;\-&quot;Rs&quot;* #,##0.00_-;_-&quot;Rs&quot;* &quot;-&quot;??_-;_-@_-"/>
    <numFmt numFmtId="43" formatCode="_-* #,##0.00_-;\-* #,##0.00_-;_-* &quot;-&quot;??_-;_-@_-"/>
    <numFmt numFmtId="164" formatCode="[$-409]mmm\-yy;@"/>
    <numFmt numFmtId="165" formatCode="[$-409]mmmmm;@"/>
    <numFmt numFmtId="166" formatCode="[$-409]d\-mmm\-yy;@"/>
    <numFmt numFmtId="167" formatCode="yyyy\-mm\-dd;@"/>
    <numFmt numFmtId="168" formatCode="&quot;Rs&quot;#,##0.00"/>
    <numFmt numFmtId="169" formatCode="&quot;Rs&quot;#,##0"/>
    <numFmt numFmtId="170" formatCode="_-* #,##0_-;\-* #,##0_-;_-* &quot;-&quot;??_-;_-@_-"/>
    <numFmt numFmtId="171" formatCode="0.0%"/>
    <numFmt numFmtId="172" formatCode="_-&quot;Rs&quot;* #,##0_-;\-&quot;Rs&quot;* #,##0_-;_-&quot;Rs&quot;* &quot;-&quot;??_-;_-@_-"/>
    <numFmt numFmtId="173" formatCode="[$]dd/mm/yyyy;@" x16r2:formatCode16="[$-en-PK,1]dd/mm/yyyy;@"/>
    <numFmt numFmtId="174" formatCode="mm/dd/yy;@"/>
  </numFmts>
  <fonts count="1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4"/>
      <name val="Calibri"/>
      <family val="2"/>
      <scheme val="minor"/>
    </font>
    <font>
      <sz val="36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theme="9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theme="9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4">
    <xf numFmtId="0" fontId="0" fillId="0" borderId="0"/>
    <xf numFmtId="9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3" fontId="6" fillId="0" borderId="0" applyFont="0" applyFill="0" applyBorder="0" applyAlignment="0" applyProtection="0"/>
  </cellStyleXfs>
  <cellXfs count="83">
    <xf numFmtId="0" fontId="0" fillId="0" borderId="0" xfId="0"/>
    <xf numFmtId="164" fontId="0" fillId="0" borderId="0" xfId="0" applyNumberFormat="1"/>
    <xf numFmtId="0" fontId="2" fillId="0" borderId="0" xfId="0" applyFont="1"/>
    <xf numFmtId="165" fontId="2" fillId="0" borderId="0" xfId="0" applyNumberFormat="1" applyFont="1"/>
    <xf numFmtId="0" fontId="0" fillId="3" borderId="0" xfId="0" applyFill="1"/>
    <xf numFmtId="0" fontId="4" fillId="3" borderId="0" xfId="0" applyFont="1" applyFill="1"/>
    <xf numFmtId="0" fontId="0" fillId="4" borderId="0" xfId="0" applyFill="1"/>
    <xf numFmtId="0" fontId="5" fillId="3" borderId="0" xfId="0" applyFont="1" applyFill="1" applyAlignment="1">
      <alignment horizontal="center"/>
    </xf>
    <xf numFmtId="0" fontId="5" fillId="3" borderId="0" xfId="0" applyFont="1" applyFill="1"/>
    <xf numFmtId="0" fontId="2" fillId="4" borderId="0" xfId="0" applyFont="1" applyFill="1"/>
    <xf numFmtId="0" fontId="0" fillId="0" borderId="0" xfId="0" applyAlignment="1">
      <alignment horizontal="left" vertical="center"/>
    </xf>
    <xf numFmtId="0" fontId="1" fillId="5" borderId="1" xfId="0" applyFont="1" applyFill="1" applyBorder="1" applyAlignment="1">
      <alignment horizontal="left" vertical="center"/>
    </xf>
    <xf numFmtId="0" fontId="1" fillId="5" borderId="2" xfId="0" applyFont="1" applyFill="1" applyBorder="1" applyAlignment="1">
      <alignment horizontal="left" vertical="center"/>
    </xf>
    <xf numFmtId="0" fontId="1" fillId="5" borderId="5" xfId="0" applyFont="1" applyFill="1" applyBorder="1" applyAlignment="1">
      <alignment horizontal="left" vertical="center"/>
    </xf>
    <xf numFmtId="166" fontId="5" fillId="3" borderId="0" xfId="0" applyNumberFormat="1" applyFont="1" applyFill="1"/>
    <xf numFmtId="166" fontId="0" fillId="4" borderId="0" xfId="0" applyNumberFormat="1" applyFill="1"/>
    <xf numFmtId="166" fontId="1" fillId="5" borderId="2" xfId="0" applyNumberFormat="1" applyFont="1" applyFill="1" applyBorder="1" applyAlignment="1">
      <alignment horizontal="left" vertical="center"/>
    </xf>
    <xf numFmtId="166" fontId="0" fillId="0" borderId="0" xfId="0" applyNumberFormat="1"/>
    <xf numFmtId="166" fontId="0" fillId="3" borderId="0" xfId="0" applyNumberFormat="1" applyFill="1"/>
    <xf numFmtId="0" fontId="0" fillId="0" borderId="6" xfId="0" applyBorder="1"/>
    <xf numFmtId="0" fontId="0" fillId="0" borderId="7" xfId="0" applyBorder="1"/>
    <xf numFmtId="0" fontId="0" fillId="0" borderId="8" xfId="0" applyBorder="1"/>
    <xf numFmtId="167" fontId="0" fillId="0" borderId="0" xfId="0" applyNumberFormat="1"/>
    <xf numFmtId="168" fontId="2" fillId="4" borderId="0" xfId="2" applyNumberFormat="1" applyFont="1" applyFill="1"/>
    <xf numFmtId="168" fontId="0" fillId="0" borderId="0" xfId="2" applyNumberFormat="1" applyFont="1"/>
    <xf numFmtId="169" fontId="0" fillId="0" borderId="0" xfId="2" applyNumberFormat="1" applyFont="1"/>
    <xf numFmtId="168" fontId="1" fillId="5" borderId="5" xfId="2" applyNumberFormat="1" applyFont="1" applyFill="1" applyBorder="1" applyAlignment="1">
      <alignment horizontal="left" vertical="center"/>
    </xf>
    <xf numFmtId="164" fontId="2" fillId="0" borderId="12" xfId="0" applyNumberFormat="1" applyFont="1" applyBorder="1"/>
    <xf numFmtId="164" fontId="0" fillId="0" borderId="13" xfId="0" applyNumberFormat="1" applyBorder="1"/>
    <xf numFmtId="164" fontId="0" fillId="0" borderId="11" xfId="0" applyNumberFormat="1" applyBorder="1"/>
    <xf numFmtId="0" fontId="0" fillId="0" borderId="14" xfId="0" applyBorder="1"/>
    <xf numFmtId="0" fontId="0" fillId="0" borderId="11" xfId="0" applyBorder="1"/>
    <xf numFmtId="164" fontId="0" fillId="0" borderId="15" xfId="0" applyNumberFormat="1" applyBorder="1"/>
    <xf numFmtId="0" fontId="2" fillId="0" borderId="6" xfId="0" applyFont="1" applyBorder="1"/>
    <xf numFmtId="170" fontId="0" fillId="0" borderId="0" xfId="3" applyNumberFormat="1" applyFont="1"/>
    <xf numFmtId="9" fontId="0" fillId="0" borderId="0" xfId="0" applyNumberFormat="1"/>
    <xf numFmtId="14" fontId="0" fillId="0" borderId="0" xfId="0" applyNumberFormat="1"/>
    <xf numFmtId="0" fontId="0" fillId="7" borderId="17" xfId="0" applyFill="1" applyBorder="1"/>
    <xf numFmtId="170" fontId="0" fillId="0" borderId="0" xfId="0" applyNumberFormat="1"/>
    <xf numFmtId="171" fontId="0" fillId="0" borderId="0" xfId="1" applyNumberFormat="1" applyFont="1"/>
    <xf numFmtId="0" fontId="1" fillId="8" borderId="0" xfId="0" applyFont="1" applyFill="1" applyAlignment="1">
      <alignment vertical="center"/>
    </xf>
    <xf numFmtId="0" fontId="1" fillId="8" borderId="0" xfId="0" applyFont="1" applyFill="1" applyAlignment="1">
      <alignment vertical="center" wrapText="1"/>
    </xf>
    <xf numFmtId="0" fontId="1" fillId="8" borderId="0" xfId="0" applyFont="1" applyFill="1" applyAlignment="1">
      <alignment horizontal="center" vertical="center" wrapText="1"/>
    </xf>
    <xf numFmtId="0" fontId="3" fillId="0" borderId="0" xfId="0" applyFont="1"/>
    <xf numFmtId="170" fontId="0" fillId="0" borderId="0" xfId="3" applyNumberFormat="1" applyFont="1" applyBorder="1"/>
    <xf numFmtId="172" fontId="0" fillId="0" borderId="0" xfId="2" applyNumberFormat="1" applyFont="1" applyBorder="1"/>
    <xf numFmtId="0" fontId="0" fillId="0" borderId="18" xfId="0" applyBorder="1"/>
    <xf numFmtId="0" fontId="0" fillId="0" borderId="19" xfId="0" applyBorder="1"/>
    <xf numFmtId="0" fontId="0" fillId="9" borderId="18" xfId="0" applyFill="1" applyBorder="1"/>
    <xf numFmtId="172" fontId="0" fillId="4" borderId="19" xfId="2" applyNumberFormat="1" applyFont="1" applyFill="1" applyBorder="1"/>
    <xf numFmtId="0" fontId="0" fillId="0" borderId="10" xfId="0" applyBorder="1"/>
    <xf numFmtId="0" fontId="0" fillId="0" borderId="20" xfId="0" applyBorder="1"/>
    <xf numFmtId="0" fontId="0" fillId="9" borderId="10" xfId="0" applyFill="1" applyBorder="1"/>
    <xf numFmtId="170" fontId="0" fillId="9" borderId="10" xfId="3" applyNumberFormat="1" applyFont="1" applyFill="1" applyBorder="1"/>
    <xf numFmtId="172" fontId="0" fillId="4" borderId="20" xfId="2" applyNumberFormat="1" applyFont="1" applyFill="1" applyBorder="1"/>
    <xf numFmtId="0" fontId="7" fillId="0" borderId="21" xfId="0" applyFont="1" applyBorder="1"/>
    <xf numFmtId="0" fontId="11" fillId="0" borderId="0" xfId="0" applyFont="1"/>
    <xf numFmtId="172" fontId="12" fillId="0" borderId="23" xfId="2" applyNumberFormat="1" applyFont="1" applyBorder="1"/>
    <xf numFmtId="173" fontId="0" fillId="0" borderId="0" xfId="0" applyNumberFormat="1"/>
    <xf numFmtId="174" fontId="0" fillId="0" borderId="0" xfId="0" applyNumberFormat="1"/>
    <xf numFmtId="0" fontId="0" fillId="10" borderId="0" xfId="0" applyFill="1"/>
    <xf numFmtId="0" fontId="3" fillId="10" borderId="0" xfId="0" applyFont="1" applyFill="1"/>
    <xf numFmtId="14" fontId="7" fillId="10" borderId="4" xfId="0" applyNumberFormat="1" applyFont="1" applyFill="1" applyBorder="1"/>
    <xf numFmtId="0" fontId="8" fillId="10" borderId="9" xfId="0" applyFont="1" applyFill="1" applyBorder="1"/>
    <xf numFmtId="10" fontId="0" fillId="0" borderId="14" xfId="1" applyNumberFormat="1" applyFont="1" applyBorder="1"/>
    <xf numFmtId="10" fontId="0" fillId="0" borderId="16" xfId="1" applyNumberFormat="1" applyFont="1" applyBorder="1"/>
    <xf numFmtId="0" fontId="7" fillId="10" borderId="0" xfId="0" applyFont="1" applyFill="1"/>
    <xf numFmtId="0" fontId="0" fillId="7" borderId="0" xfId="0" applyFill="1"/>
    <xf numFmtId="0" fontId="13" fillId="2" borderId="0" xfId="0" applyFont="1" applyFill="1"/>
    <xf numFmtId="0" fontId="10" fillId="0" borderId="22" xfId="0" applyFont="1" applyBorder="1"/>
    <xf numFmtId="0" fontId="8" fillId="10" borderId="3" xfId="0" applyFont="1" applyFill="1" applyBorder="1" applyAlignment="1">
      <alignment horizontal="center"/>
    </xf>
    <xf numFmtId="0" fontId="0" fillId="10" borderId="10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7" fillId="10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2" fillId="0" borderId="0" xfId="0" applyFont="1" applyAlignment="1">
      <alignment horizontal="right"/>
    </xf>
    <xf numFmtId="0" fontId="9" fillId="6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</cellXfs>
  <cellStyles count="4">
    <cellStyle name="Comma" xfId="3" builtinId="3"/>
    <cellStyle name="Currency" xfId="2" builtinId="4"/>
    <cellStyle name="Normal" xfId="0" builtinId="0"/>
    <cellStyle name="Percent" xfId="1" builtinId="5"/>
  </cellStyles>
  <dxfs count="9">
    <dxf>
      <font>
        <color theme="3"/>
      </font>
      <fill>
        <patternFill>
          <bgColor theme="4" tint="0.59996337778862885"/>
        </patternFill>
      </fill>
    </dxf>
    <dxf>
      <numFmt numFmtId="0" formatCode="General"/>
    </dxf>
    <dxf>
      <numFmt numFmtId="0" formatCode="General"/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39994506668294322"/>
        </patternFill>
      </fill>
    </dxf>
    <dxf>
      <font>
        <color theme="0"/>
      </font>
      <fill>
        <patternFill>
          <bgColor theme="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tx2">
                  <a:lumMod val="40000"/>
                  <a:lumOff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52B-4757-B8FA-B89F01ABD299}"/>
              </c:ext>
            </c:extLst>
          </c:dPt>
          <c:dPt>
            <c:idx val="1"/>
            <c:bubble3D val="0"/>
            <c:spPr>
              <a:solidFill>
                <a:schemeClr val="tx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52B-4757-B8FA-B89F01ABD29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PK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Calculations!$A$12:$A$13</c:f>
              <c:strCache>
                <c:ptCount val="2"/>
                <c:pt idx="0">
                  <c:v>Male %</c:v>
                </c:pt>
                <c:pt idx="1">
                  <c:v>Female %</c:v>
                </c:pt>
              </c:strCache>
            </c:strRef>
          </c:cat>
          <c:val>
            <c:numRef>
              <c:f>Calculations!$B$12:$B$13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2B-4757-B8FA-B89F01ABD299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P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P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JOINING TREND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PK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Calculations!$AC$5:$AC$23</c:f>
            </c:multiLvlStrRef>
          </c:cat>
          <c:val>
            <c:numRef>
              <c:f>Calculations!$AD$5:$AD$23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D7-4CA8-B94A-BCC138F1DD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76397744"/>
        <c:axId val="776397416"/>
      </c:lineChart>
      <c:catAx>
        <c:axId val="776397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PK"/>
          </a:p>
        </c:txPr>
        <c:crossAx val="776397416"/>
        <c:crosses val="autoZero"/>
        <c:auto val="1"/>
        <c:lblAlgn val="ctr"/>
        <c:lblOffset val="100"/>
        <c:noMultiLvlLbl val="0"/>
      </c:catAx>
      <c:valAx>
        <c:axId val="77639741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No.</a:t>
                </a:r>
                <a:r>
                  <a:rPr lang="en-US" baseline="0"/>
                  <a:t> of Employees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P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PK"/>
          </a:p>
        </c:txPr>
        <c:crossAx val="776397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P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JOINING TREND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PK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Calculations!$AC$5:$AC$23</c:f>
            </c:multiLvlStrRef>
          </c:cat>
          <c:val>
            <c:numRef>
              <c:f>Calculations!$AD$5:$AD$23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9D-428C-B286-840C226C57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76397744"/>
        <c:axId val="776397416"/>
      </c:lineChart>
      <c:catAx>
        <c:axId val="776397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PK"/>
          </a:p>
        </c:txPr>
        <c:crossAx val="776397416"/>
        <c:crosses val="autoZero"/>
        <c:auto val="1"/>
        <c:lblAlgn val="ctr"/>
        <c:lblOffset val="100"/>
        <c:noMultiLvlLbl val="0"/>
      </c:catAx>
      <c:valAx>
        <c:axId val="77639741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No.</a:t>
                </a:r>
                <a:r>
                  <a:rPr lang="en-US" baseline="0"/>
                  <a:t> of Employees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P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PK"/>
          </a:p>
        </c:txPr>
        <c:crossAx val="776397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P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1.jfif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Attendance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352425</xdr:colOff>
      <xdr:row>14</xdr:row>
      <xdr:rowOff>133350</xdr:rowOff>
    </xdr:from>
    <xdr:to>
      <xdr:col>20</xdr:col>
      <xdr:colOff>561975</xdr:colOff>
      <xdr:row>26</xdr:row>
      <xdr:rowOff>80963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6EEAF47-5078-4E27-8FB9-1D928AE2BB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28575</xdr:colOff>
      <xdr:row>4</xdr:row>
      <xdr:rowOff>104775</xdr:rowOff>
    </xdr:from>
    <xdr:to>
      <xdr:col>19</xdr:col>
      <xdr:colOff>152400</xdr:colOff>
      <xdr:row>6</xdr:row>
      <xdr:rowOff>114300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937A370-EBBB-22BD-E5A2-4636D98B4ADE}"/>
            </a:ext>
          </a:extLst>
        </xdr:cNvPr>
        <xdr:cNvSpPr txBox="1"/>
      </xdr:nvSpPr>
      <xdr:spPr>
        <a:xfrm>
          <a:off x="10925175" y="866775"/>
          <a:ext cx="1343025" cy="400050"/>
        </a:xfrm>
        <a:prstGeom prst="rect">
          <a:avLst/>
        </a:prstGeom>
        <a:solidFill>
          <a:schemeClr val="tx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>
              <a:solidFill>
                <a:schemeClr val="bg1"/>
              </a:solidFill>
            </a:rPr>
            <a:t>HEADCOUNT</a:t>
          </a:r>
          <a:endParaRPr lang="en-PK" sz="1600" b="1">
            <a:solidFill>
              <a:schemeClr val="bg1"/>
            </a:solidFill>
          </a:endParaRPr>
        </a:p>
      </xdr:txBody>
    </xdr:sp>
    <xdr:clientData/>
  </xdr:twoCellAnchor>
  <xdr:twoCellAnchor>
    <xdr:from>
      <xdr:col>19</xdr:col>
      <xdr:colOff>590551</xdr:colOff>
      <xdr:row>6</xdr:row>
      <xdr:rowOff>180975</xdr:rowOff>
    </xdr:from>
    <xdr:to>
      <xdr:col>20</xdr:col>
      <xdr:colOff>533401</xdr:colOff>
      <xdr:row>8</xdr:row>
      <xdr:rowOff>180975</xdr:rowOff>
    </xdr:to>
    <xdr:sp macro="" textlink="Calculations!B9">
      <xdr:nvSpPr>
        <xdr:cNvPr id="5" name="TextBox 4">
          <a:extLst>
            <a:ext uri="{FF2B5EF4-FFF2-40B4-BE49-F238E27FC236}">
              <a16:creationId xmlns:a16="http://schemas.microsoft.com/office/drawing/2014/main" id="{BA003167-7C2E-9C4D-AD99-09F70B760F9D}"/>
            </a:ext>
          </a:extLst>
        </xdr:cNvPr>
        <xdr:cNvSpPr txBox="1"/>
      </xdr:nvSpPr>
      <xdr:spPr>
        <a:xfrm>
          <a:off x="12706351" y="1333500"/>
          <a:ext cx="552450" cy="352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00E0613-748E-4390-95E8-31DD80C1CF48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1</a:t>
          </a:fld>
          <a:endParaRPr lang="en-PK" sz="1600" b="1"/>
        </a:p>
      </xdr:txBody>
    </xdr:sp>
    <xdr:clientData/>
  </xdr:twoCellAnchor>
  <xdr:twoCellAnchor>
    <xdr:from>
      <xdr:col>15</xdr:col>
      <xdr:colOff>533399</xdr:colOff>
      <xdr:row>6</xdr:row>
      <xdr:rowOff>209550</xdr:rowOff>
    </xdr:from>
    <xdr:to>
      <xdr:col>20</xdr:col>
      <xdr:colOff>190500</xdr:colOff>
      <xdr:row>9</xdr:row>
      <xdr:rowOff>9525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74130E1-0AB4-4162-37B3-34CF9E464357}"/>
            </a:ext>
          </a:extLst>
        </xdr:cNvPr>
        <xdr:cNvSpPr txBox="1"/>
      </xdr:nvSpPr>
      <xdr:spPr>
        <a:xfrm>
          <a:off x="10210799" y="1362075"/>
          <a:ext cx="2705101" cy="42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/>
            <a:t>Total Headcount for this Month:</a:t>
          </a:r>
          <a:endParaRPr lang="en-PK" sz="1400" b="1"/>
        </a:p>
      </xdr:txBody>
    </xdr:sp>
    <xdr:clientData/>
  </xdr:twoCellAnchor>
  <xdr:twoCellAnchor editAs="oneCell">
    <xdr:from>
      <xdr:col>17</xdr:col>
      <xdr:colOff>0</xdr:colOff>
      <xdr:row>8</xdr:row>
      <xdr:rowOff>211048</xdr:rowOff>
    </xdr:from>
    <xdr:to>
      <xdr:col>17</xdr:col>
      <xdr:colOff>466725</xdr:colOff>
      <xdr:row>12</xdr:row>
      <xdr:rowOff>175425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44EF1A83-98EE-1270-F84C-DAF5EF0039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621" r="56897"/>
        <a:stretch/>
      </xdr:blipFill>
      <xdr:spPr>
        <a:xfrm>
          <a:off x="10896600" y="1715998"/>
          <a:ext cx="466725" cy="812102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</xdr:spPr>
    </xdr:pic>
    <xdr:clientData/>
  </xdr:twoCellAnchor>
  <xdr:twoCellAnchor editAs="oneCell">
    <xdr:from>
      <xdr:col>18</xdr:col>
      <xdr:colOff>209551</xdr:colOff>
      <xdr:row>8</xdr:row>
      <xdr:rowOff>209550</xdr:rowOff>
    </xdr:from>
    <xdr:to>
      <xdr:col>19</xdr:col>
      <xdr:colOff>137676</xdr:colOff>
      <xdr:row>12</xdr:row>
      <xdr:rowOff>175425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CE96F9DD-B83B-E9EE-83B9-5E27FCAB17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6896" r="3449"/>
        <a:stretch/>
      </xdr:blipFill>
      <xdr:spPr>
        <a:xfrm>
          <a:off x="11715751" y="1714500"/>
          <a:ext cx="537725" cy="813600"/>
        </a:xfrm>
        <a:prstGeom prst="rect">
          <a:avLst/>
        </a:prstGeom>
      </xdr:spPr>
    </xdr:pic>
    <xdr:clientData/>
  </xdr:twoCellAnchor>
  <xdr:twoCellAnchor>
    <xdr:from>
      <xdr:col>18</xdr:col>
      <xdr:colOff>180975</xdr:colOff>
      <xdr:row>12</xdr:row>
      <xdr:rowOff>171450</xdr:rowOff>
    </xdr:from>
    <xdr:to>
      <xdr:col>19</xdr:col>
      <xdr:colOff>333375</xdr:colOff>
      <xdr:row>14</xdr:row>
      <xdr:rowOff>123825</xdr:rowOff>
    </xdr:to>
    <xdr:sp macro="" textlink="Calculations!$B$13">
      <xdr:nvSpPr>
        <xdr:cNvPr id="11" name="TextBox 10">
          <a:extLst>
            <a:ext uri="{FF2B5EF4-FFF2-40B4-BE49-F238E27FC236}">
              <a16:creationId xmlns:a16="http://schemas.microsoft.com/office/drawing/2014/main" id="{73A11568-0CD1-E30B-B992-BBCEFC757A5C}"/>
            </a:ext>
          </a:extLst>
        </xdr:cNvPr>
        <xdr:cNvSpPr txBox="1"/>
      </xdr:nvSpPr>
      <xdr:spPr>
        <a:xfrm>
          <a:off x="11687175" y="2524125"/>
          <a:ext cx="762000" cy="333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96806AFF-C3D6-4F15-AC35-22B943E975DF}" type="TxLink">
            <a:rPr lang="en-US" sz="12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0.00%</a:t>
          </a:fld>
          <a:endParaRPr lang="en-PK" sz="1200" b="1"/>
        </a:p>
      </xdr:txBody>
    </xdr:sp>
    <xdr:clientData/>
  </xdr:twoCellAnchor>
  <xdr:twoCellAnchor>
    <xdr:from>
      <xdr:col>16</xdr:col>
      <xdr:colOff>523874</xdr:colOff>
      <xdr:row>12</xdr:row>
      <xdr:rowOff>180975</xdr:rowOff>
    </xdr:from>
    <xdr:to>
      <xdr:col>18</xdr:col>
      <xdr:colOff>114299</xdr:colOff>
      <xdr:row>14</xdr:row>
      <xdr:rowOff>133350</xdr:rowOff>
    </xdr:to>
    <xdr:sp macro="" textlink="Calculations!$B$12">
      <xdr:nvSpPr>
        <xdr:cNvPr id="12" name="TextBox 11">
          <a:extLst>
            <a:ext uri="{FF2B5EF4-FFF2-40B4-BE49-F238E27FC236}">
              <a16:creationId xmlns:a16="http://schemas.microsoft.com/office/drawing/2014/main" id="{8D66706B-9DC4-4D4A-A86A-FEC6B33EDB93}"/>
            </a:ext>
          </a:extLst>
        </xdr:cNvPr>
        <xdr:cNvSpPr txBox="1"/>
      </xdr:nvSpPr>
      <xdr:spPr>
        <a:xfrm>
          <a:off x="10810874" y="2533650"/>
          <a:ext cx="809625" cy="333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40A24597-9F5B-44EF-8113-031C810E0335}" type="TxLink">
            <a:rPr lang="en-US" sz="1200" b="1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0.00%</a:t>
          </a:fld>
          <a:endParaRPr lang="en-PK" sz="1200" b="1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15</xdr:col>
      <xdr:colOff>47625</xdr:colOff>
      <xdr:row>4</xdr:row>
      <xdr:rowOff>114300</xdr:rowOff>
    </xdr:from>
    <xdr:to>
      <xdr:col>21</xdr:col>
      <xdr:colOff>161925</xdr:colOff>
      <xdr:row>26</xdr:row>
      <xdr:rowOff>95250</xdr:rowOff>
    </xdr:to>
    <xdr:sp macro="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F08968CB-FD52-EB27-0BE7-A4978DB6763E}"/>
            </a:ext>
          </a:extLst>
        </xdr:cNvPr>
        <xdr:cNvSpPr/>
      </xdr:nvSpPr>
      <xdr:spPr>
        <a:xfrm>
          <a:off x="9725025" y="876300"/>
          <a:ext cx="3771900" cy="4238625"/>
        </a:xfrm>
        <a:prstGeom prst="roundRect">
          <a:avLst/>
        </a:prstGeom>
        <a:noFill/>
        <a:ln w="38100">
          <a:solidFill>
            <a:schemeClr val="tx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K" sz="1100"/>
        </a:p>
      </xdr:txBody>
    </xdr:sp>
    <xdr:clientData/>
  </xdr:twoCellAnchor>
  <xdr:twoCellAnchor>
    <xdr:from>
      <xdr:col>9</xdr:col>
      <xdr:colOff>323850</xdr:colOff>
      <xdr:row>11</xdr:row>
      <xdr:rowOff>180975</xdr:rowOff>
    </xdr:from>
    <xdr:to>
      <xdr:col>13</xdr:col>
      <xdr:colOff>523875</xdr:colOff>
      <xdr:row>24</xdr:row>
      <xdr:rowOff>76200</xdr:rowOff>
    </xdr:to>
    <xdr:sp macro="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72D04B31-A930-474E-AAEE-9CF233DEF8D6}"/>
            </a:ext>
          </a:extLst>
        </xdr:cNvPr>
        <xdr:cNvSpPr/>
      </xdr:nvSpPr>
      <xdr:spPr>
        <a:xfrm>
          <a:off x="6343650" y="2400300"/>
          <a:ext cx="3505200" cy="2419350"/>
        </a:xfrm>
        <a:prstGeom prst="roundRect">
          <a:avLst/>
        </a:prstGeom>
        <a:noFill/>
        <a:ln w="38100">
          <a:solidFill>
            <a:schemeClr val="tx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K" sz="1100"/>
        </a:p>
      </xdr:txBody>
    </xdr:sp>
    <xdr:clientData/>
  </xdr:twoCellAnchor>
  <xdr:twoCellAnchor>
    <xdr:from>
      <xdr:col>0</xdr:col>
      <xdr:colOff>285750</xdr:colOff>
      <xdr:row>10</xdr:row>
      <xdr:rowOff>28575</xdr:rowOff>
    </xdr:from>
    <xdr:to>
      <xdr:col>8</xdr:col>
      <xdr:colOff>114300</xdr:colOff>
      <xdr:row>25</xdr:row>
      <xdr:rowOff>33338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CF82648A-E3F3-46F9-89E7-500FC434E5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1333500</xdr:colOff>
      <xdr:row>8</xdr:row>
      <xdr:rowOff>66675</xdr:rowOff>
    </xdr:from>
    <xdr:to>
      <xdr:col>12</xdr:col>
      <xdr:colOff>247650</xdr:colOff>
      <xdr:row>10</xdr:row>
      <xdr:rowOff>57150</xdr:rowOff>
    </xdr:to>
    <xdr:sp macro="[0]!Run_Payroll" textlink="">
      <xdr:nvSpPr>
        <xdr:cNvPr id="16" name="TextBox 15">
          <a:extLst>
            <a:ext uri="{FF2B5EF4-FFF2-40B4-BE49-F238E27FC236}">
              <a16:creationId xmlns:a16="http://schemas.microsoft.com/office/drawing/2014/main" id="{90513E89-53D3-AC41-C19A-99B11DDA20D6}"/>
            </a:ext>
          </a:extLst>
        </xdr:cNvPr>
        <xdr:cNvSpPr txBox="1"/>
      </xdr:nvSpPr>
      <xdr:spPr>
        <a:xfrm>
          <a:off x="8010525" y="1571625"/>
          <a:ext cx="1504950" cy="457200"/>
        </a:xfrm>
        <a:prstGeom prst="rect">
          <a:avLst/>
        </a:prstGeom>
        <a:solidFill>
          <a:schemeClr val="tx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RUN PAYROLL</a:t>
          </a:r>
          <a:endParaRPr lang="en-PK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465667</xdr:colOff>
      <xdr:row>3</xdr:row>
      <xdr:rowOff>21169</xdr:rowOff>
    </xdr:from>
    <xdr:to>
      <xdr:col>20</xdr:col>
      <xdr:colOff>1227667</xdr:colOff>
      <xdr:row>5</xdr:row>
      <xdr:rowOff>21168</xdr:rowOff>
    </xdr:to>
    <xdr:sp macro="[0]!BACK_DASH" textlink="">
      <xdr:nvSpPr>
        <xdr:cNvPr id="4" name="TextBox 3">
          <a:extLst>
            <a:ext uri="{FF2B5EF4-FFF2-40B4-BE49-F238E27FC236}">
              <a16:creationId xmlns:a16="http://schemas.microsoft.com/office/drawing/2014/main" id="{5DC06C0C-294E-A538-542B-0709006A8E9B}"/>
            </a:ext>
          </a:extLst>
        </xdr:cNvPr>
        <xdr:cNvSpPr txBox="1"/>
      </xdr:nvSpPr>
      <xdr:spPr>
        <a:xfrm>
          <a:off x="15546917" y="592669"/>
          <a:ext cx="762000" cy="391582"/>
        </a:xfrm>
        <a:prstGeom prst="rect">
          <a:avLst/>
        </a:prstGeom>
        <a:solidFill>
          <a:schemeClr val="tx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>
              <a:solidFill>
                <a:schemeClr val="bg1"/>
              </a:solidFill>
            </a:rPr>
            <a:t>BACK</a:t>
          </a:r>
          <a:endParaRPr lang="en-PK" sz="2000" b="1">
            <a:solidFill>
              <a:schemeClr val="bg1"/>
            </a:solidFill>
          </a:endParaRPr>
        </a:p>
      </xdr:txBody>
    </xdr:sp>
    <xdr:clientData/>
  </xdr:twoCellAnchor>
  <xdr:twoCellAnchor>
    <xdr:from>
      <xdr:col>17</xdr:col>
      <xdr:colOff>328084</xdr:colOff>
      <xdr:row>3</xdr:row>
      <xdr:rowOff>31749</xdr:rowOff>
    </xdr:from>
    <xdr:to>
      <xdr:col>20</xdr:col>
      <xdr:colOff>391584</xdr:colOff>
      <xdr:row>5</xdr:row>
      <xdr:rowOff>21167</xdr:rowOff>
    </xdr:to>
    <xdr:sp macro="[0]!A_R" textlink="">
      <xdr:nvSpPr>
        <xdr:cNvPr id="5" name="TextBox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19FC498-AC07-4E30-8F00-2239EA01746E}"/>
            </a:ext>
          </a:extLst>
        </xdr:cNvPr>
        <xdr:cNvSpPr txBox="1"/>
      </xdr:nvSpPr>
      <xdr:spPr>
        <a:xfrm>
          <a:off x="13123334" y="603249"/>
          <a:ext cx="2349500" cy="381001"/>
        </a:xfrm>
        <a:prstGeom prst="rect">
          <a:avLst/>
        </a:prstGeom>
        <a:solidFill>
          <a:schemeClr val="tx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>
              <a:solidFill>
                <a:schemeClr val="bg1"/>
              </a:solidFill>
            </a:rPr>
            <a:t>ATTENDANCE</a:t>
          </a:r>
          <a:r>
            <a:rPr lang="en-US" sz="1800" b="1" baseline="0">
              <a:solidFill>
                <a:schemeClr val="bg1"/>
              </a:solidFill>
            </a:rPr>
            <a:t> RECORD</a:t>
          </a:r>
          <a:endParaRPr lang="en-PK" sz="18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123825</xdr:rowOff>
    </xdr:from>
    <xdr:to>
      <xdr:col>3</xdr:col>
      <xdr:colOff>180975</xdr:colOff>
      <xdr:row>15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1310173-B323-4ABC-ACC0-3DBD6DA123AF}"/>
            </a:ext>
          </a:extLst>
        </xdr:cNvPr>
        <xdr:cNvSpPr txBox="1"/>
      </xdr:nvSpPr>
      <xdr:spPr>
        <a:xfrm>
          <a:off x="1066800" y="123825"/>
          <a:ext cx="3476625" cy="2733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Add Employees' Attendance data on this sheet through power query (By Folder named Attendance).</a:t>
          </a:r>
          <a:endParaRPr lang="en-PK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561975</xdr:colOff>
      <xdr:row>7</xdr:row>
      <xdr:rowOff>33336</xdr:rowOff>
    </xdr:from>
    <xdr:to>
      <xdr:col>42</xdr:col>
      <xdr:colOff>161925</xdr:colOff>
      <xdr:row>24</xdr:row>
      <xdr:rowOff>85724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24B01FE6-7A6B-ABA4-0570-AE49F0350A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1304925</xdr:colOff>
      <xdr:row>2</xdr:row>
      <xdr:rowOff>152400</xdr:rowOff>
    </xdr:from>
    <xdr:to>
      <xdr:col>3</xdr:col>
      <xdr:colOff>819150</xdr:colOff>
      <xdr:row>17</xdr:row>
      <xdr:rowOff>28575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B914E8AD-04C3-84DB-EBC3-E23C3E669740}"/>
            </a:ext>
          </a:extLst>
        </xdr:cNvPr>
        <xdr:cNvSpPr txBox="1"/>
      </xdr:nvSpPr>
      <xdr:spPr>
        <a:xfrm>
          <a:off x="2343150" y="533400"/>
          <a:ext cx="3476625" cy="2733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Add Employees' record data on this sheet through power query (by Folder named</a:t>
          </a:r>
          <a:r>
            <a:rPr lang="en-US" sz="1100" baseline="0"/>
            <a:t> Employees' Data)</a:t>
          </a:r>
          <a:r>
            <a:rPr lang="en-US" sz="1100"/>
            <a:t>.</a:t>
          </a:r>
          <a:endParaRPr lang="en-PK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7BAE175-5830-4BFF-BA53-DFF5CCD02B99}" name="Table3" displayName="Table3" ref="Y4:AA86" totalsRowShown="0">
  <autoFilter ref="Y4:AA86" xr:uid="{67BAE175-5830-4BFF-BA53-DFF5CCD02B99}"/>
  <tableColumns count="3">
    <tableColumn id="1" xr3:uid="{4328B08A-6A2D-44B0-B251-A0461BCF3212}" name="ID" dataDxfId="2">
      <calculatedColumnFormula>IFERROR(IF(AND(Employees!A3&lt;&gt;"",Employees!D3&lt;&gt;"NULL"),Employees!A3,""),"")</calculatedColumnFormula>
    </tableColumn>
    <tableColumn id="2" xr3:uid="{6AA34375-E3C2-446E-894F-7639DFB588D8}" name="Joining_Date"/>
    <tableColumn id="3" xr3:uid="{6B90B902-248D-4AFA-97B0-5BEEAFED431F}" name="Joining Date" dataDxfId="1">
      <calculatedColumnFormula>IF(Table3[[#This Row],[Joining_Date]]="","",TEXT(Z5,"MMM-YY"))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C7727-3D16-4A26-836C-E8835C1595D5}">
  <sheetPr codeName="Sheet1"/>
  <dimension ref="A1:BO20"/>
  <sheetViews>
    <sheetView workbookViewId="0">
      <selection activeCell="H9" sqref="H9"/>
    </sheetView>
  </sheetViews>
  <sheetFormatPr defaultRowHeight="15" x14ac:dyDescent="0.25"/>
  <cols>
    <col min="1" max="4" width="9.140625" style="60"/>
    <col min="5" max="5" width="15.140625" style="60" bestFit="1" customWidth="1"/>
    <col min="6" max="7" width="9.140625" style="60"/>
    <col min="8" max="8" width="11.140625" style="60" customWidth="1"/>
    <col min="9" max="9" width="9.140625" style="60"/>
    <col min="10" max="10" width="9.85546875" style="60" customWidth="1"/>
    <col min="11" max="11" width="21.42578125" style="60" customWidth="1"/>
    <col min="12" max="12" width="17.42578125" style="60" customWidth="1"/>
    <col min="13" max="14" width="9.140625" style="60"/>
    <col min="15" max="15" width="2.7109375" style="60" customWidth="1"/>
    <col min="16" max="16384" width="9.140625" style="60"/>
  </cols>
  <sheetData>
    <row r="1" spans="1:67" customFormat="1" ht="15" customHeight="1" x14ac:dyDescent="0.7">
      <c r="A1" s="74" t="s">
        <v>91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8"/>
      <c r="AY1" s="68"/>
      <c r="AZ1" s="68"/>
      <c r="BA1" s="68"/>
      <c r="BB1" s="68"/>
      <c r="BC1" s="68"/>
      <c r="BD1" s="68"/>
      <c r="BE1" s="68"/>
      <c r="BF1" s="68"/>
      <c r="BG1" s="68"/>
      <c r="BH1" s="68"/>
      <c r="BI1" s="68"/>
      <c r="BJ1" s="68"/>
      <c r="BK1" s="68"/>
      <c r="BL1" s="68"/>
      <c r="BM1" s="68"/>
      <c r="BN1" s="68"/>
      <c r="BO1" s="68"/>
    </row>
    <row r="2" spans="1:67" customFormat="1" ht="15" customHeight="1" x14ac:dyDescent="0.7">
      <c r="A2" s="74"/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68"/>
      <c r="V2" s="68"/>
      <c r="W2" s="68"/>
      <c r="X2" s="68"/>
      <c r="Y2" s="68"/>
      <c r="Z2" s="68"/>
      <c r="AA2" s="68"/>
      <c r="AB2" s="68"/>
      <c r="AC2" s="68"/>
      <c r="AD2" s="68"/>
      <c r="AE2" s="68"/>
      <c r="AF2" s="68"/>
      <c r="AG2" s="68"/>
      <c r="AH2" s="68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8"/>
      <c r="AU2" s="68"/>
      <c r="AV2" s="68"/>
      <c r="AW2" s="68"/>
      <c r="AX2" s="68"/>
      <c r="AY2" s="68"/>
      <c r="AZ2" s="68"/>
      <c r="BA2" s="68"/>
      <c r="BB2" s="68"/>
      <c r="BC2" s="68"/>
      <c r="BD2" s="68"/>
      <c r="BE2" s="68"/>
      <c r="BF2" s="68"/>
      <c r="BG2" s="68"/>
      <c r="BH2" s="68"/>
      <c r="BI2" s="68"/>
      <c r="BJ2" s="68"/>
      <c r="BK2" s="68"/>
      <c r="BL2" s="68"/>
      <c r="BM2" s="68"/>
      <c r="BN2" s="68"/>
      <c r="BO2" s="68"/>
    </row>
    <row r="3" spans="1:67" customFormat="1" ht="15" customHeight="1" x14ac:dyDescent="0.7">
      <c r="A3" s="74"/>
      <c r="B3" s="74"/>
      <c r="C3" s="74"/>
      <c r="D3" s="74"/>
      <c r="E3" s="74"/>
      <c r="F3" s="74"/>
      <c r="G3" s="74"/>
      <c r="H3" s="74"/>
      <c r="I3" s="74"/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68"/>
      <c r="V3" s="68"/>
      <c r="W3" s="68"/>
      <c r="X3" s="68"/>
      <c r="Y3" s="68"/>
      <c r="Z3" s="68"/>
      <c r="AA3" s="68"/>
      <c r="AB3" s="68"/>
      <c r="AC3" s="68"/>
      <c r="AD3" s="68"/>
      <c r="AE3" s="68"/>
      <c r="AF3" s="68"/>
      <c r="AG3" s="68"/>
      <c r="AH3" s="68"/>
      <c r="AI3" s="68"/>
      <c r="AJ3" s="68"/>
      <c r="AK3" s="68"/>
      <c r="AL3" s="68"/>
      <c r="AM3" s="68"/>
      <c r="AN3" s="68"/>
      <c r="AO3" s="68"/>
      <c r="AP3" s="68"/>
      <c r="AQ3" s="68"/>
      <c r="AR3" s="68"/>
      <c r="AS3" s="68"/>
      <c r="AT3" s="68"/>
      <c r="AU3" s="68"/>
      <c r="AV3" s="68"/>
      <c r="AW3" s="68"/>
      <c r="AX3" s="68"/>
      <c r="AY3" s="68"/>
      <c r="AZ3" s="68"/>
      <c r="BA3" s="68"/>
      <c r="BB3" s="68"/>
      <c r="BC3" s="68"/>
      <c r="BD3" s="68"/>
      <c r="BE3" s="68"/>
      <c r="BF3" s="68"/>
      <c r="BG3" s="68"/>
      <c r="BH3" s="68"/>
      <c r="BI3" s="68"/>
      <c r="BJ3" s="68"/>
      <c r="BK3" s="68"/>
      <c r="BL3" s="68"/>
      <c r="BM3" s="68"/>
      <c r="BN3" s="68"/>
      <c r="BO3" s="68"/>
    </row>
    <row r="4" spans="1:67" customFormat="1" ht="15" customHeight="1" x14ac:dyDescent="0.7">
      <c r="A4" s="74"/>
      <c r="B4" s="74"/>
      <c r="C4" s="74"/>
      <c r="D4" s="74"/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68"/>
      <c r="V4" s="68"/>
      <c r="W4" s="68"/>
      <c r="X4" s="68"/>
      <c r="Y4" s="68"/>
      <c r="Z4" s="68"/>
      <c r="AA4" s="68"/>
      <c r="AB4" s="68"/>
      <c r="AC4" s="68"/>
      <c r="AD4" s="68"/>
      <c r="AE4" s="68"/>
      <c r="AF4" s="68"/>
      <c r="AG4" s="68"/>
      <c r="AH4" s="68"/>
      <c r="AI4" s="68"/>
      <c r="AJ4" s="68"/>
      <c r="AK4" s="68"/>
      <c r="AL4" s="68"/>
      <c r="AM4" s="68"/>
      <c r="AN4" s="68"/>
      <c r="AO4" s="68"/>
      <c r="AP4" s="68"/>
      <c r="AQ4" s="68"/>
      <c r="AR4" s="68"/>
      <c r="AS4" s="68"/>
      <c r="AT4" s="68"/>
      <c r="AU4" s="68"/>
      <c r="AV4" s="68"/>
      <c r="AW4" s="68"/>
      <c r="AX4" s="68"/>
      <c r="AY4" s="68"/>
      <c r="AZ4" s="68"/>
      <c r="BA4" s="68"/>
      <c r="BB4" s="68"/>
      <c r="BC4" s="68"/>
      <c r="BD4" s="68"/>
      <c r="BE4" s="68"/>
      <c r="BF4" s="68"/>
      <c r="BG4" s="68"/>
      <c r="BH4" s="68"/>
      <c r="BI4" s="68"/>
      <c r="BJ4" s="68"/>
      <c r="BK4" s="68"/>
      <c r="BL4" s="68"/>
      <c r="BM4" s="68"/>
      <c r="BN4" s="68"/>
      <c r="BO4" s="68"/>
    </row>
    <row r="5" spans="1:67" x14ac:dyDescent="0.25">
      <c r="E5" s="61">
        <f>YEAR(E7)</f>
        <v>2022</v>
      </c>
    </row>
    <row r="6" spans="1:67" ht="15.75" thickBot="1" x14ac:dyDescent="0.3"/>
    <row r="7" spans="1:67" ht="21.75" thickBot="1" x14ac:dyDescent="0.4">
      <c r="B7" s="70" t="s">
        <v>20</v>
      </c>
      <c r="C7" s="71"/>
      <c r="D7" s="72"/>
      <c r="E7" s="62">
        <v>44805</v>
      </c>
      <c r="G7" s="73" t="str">
        <f>_xlfn.CONCAT("Total Payroll for the Month of ",E9)</f>
        <v>Total Payroll for the Month of September</v>
      </c>
      <c r="H7" s="73"/>
      <c r="I7" s="73"/>
      <c r="J7" s="73"/>
      <c r="K7" s="73"/>
      <c r="L7" s="57">
        <f>'Payroll Sheet'!M6</f>
        <v>0</v>
      </c>
    </row>
    <row r="8" spans="1:67" ht="6" customHeight="1" thickBot="1" x14ac:dyDescent="0.3"/>
    <row r="9" spans="1:67" ht="21.75" thickBot="1" x14ac:dyDescent="0.4">
      <c r="B9" s="70" t="s">
        <v>21</v>
      </c>
      <c r="C9" s="71"/>
      <c r="D9" s="72"/>
      <c r="E9" s="63" t="str">
        <f>TEXT($E$7,"MMMM")</f>
        <v>September</v>
      </c>
    </row>
    <row r="12" spans="1:67" x14ac:dyDescent="0.25">
      <c r="F12" s="60" t="str">
        <f>IF(E12="","",IF(VLOOKUP(E12,Employees!A:L,2,0)="","",VLOOKUP(E12,Employees!A:L,2,0)))</f>
        <v/>
      </c>
    </row>
    <row r="13" spans="1:67" ht="18.75" x14ac:dyDescent="0.3">
      <c r="K13" s="66" t="s">
        <v>88</v>
      </c>
    </row>
    <row r="14" spans="1:67" x14ac:dyDescent="0.25">
      <c r="K14" s="60" t="str" cm="1">
        <f t="array" ref="K14">_xlfn.ANCHORARRAY(Calculations!A23)</f>
        <v/>
      </c>
      <c r="L14" s="60" t="str">
        <f>IF(K14="","",CONCATENATE("(",VLOOKUP(K14,Employees!B:C,2,0),")"))</f>
        <v/>
      </c>
    </row>
    <row r="15" spans="1:67" x14ac:dyDescent="0.25">
      <c r="L15" s="60" t="str">
        <f>IF(K15="","",CONCATENATE("(",VLOOKUP(K15,Employees!B:C,2,0),")"))</f>
        <v/>
      </c>
      <c r="O15" s="60" t="s">
        <v>84</v>
      </c>
    </row>
    <row r="16" spans="1:67" x14ac:dyDescent="0.25">
      <c r="L16" s="60" t="str">
        <f>IF(K16="","",CONCATENATE("(",VLOOKUP(K16,Employees!B:C,2,0),")"))</f>
        <v/>
      </c>
    </row>
    <row r="17" spans="12:12" x14ac:dyDescent="0.25">
      <c r="L17" s="60" t="str">
        <f>IF(K17="","",CONCATENATE("(",VLOOKUP(K17,Employees!B:C,2,0),")"))</f>
        <v/>
      </c>
    </row>
    <row r="18" spans="12:12" x14ac:dyDescent="0.25">
      <c r="L18" s="60" t="str">
        <f>IF(K18="","",CONCATENATE("(",VLOOKUP(K18,Employees!B:C,2,0),")"))</f>
        <v/>
      </c>
    </row>
    <row r="19" spans="12:12" x14ac:dyDescent="0.25">
      <c r="L19" s="60" t="str">
        <f>IF(K19="","",CONCATENATE("(",VLOOKUP(K19,Employees!B:C,2,0),")"))</f>
        <v/>
      </c>
    </row>
    <row r="20" spans="12:12" x14ac:dyDescent="0.25">
      <c r="L20" s="60" t="str">
        <f>IF(K20="","",CONCATENATE("(",VLOOKUP(K20,Employees!B:C,2,0),")"))</f>
        <v/>
      </c>
    </row>
  </sheetData>
  <mergeCells count="4">
    <mergeCell ref="B7:D7"/>
    <mergeCell ref="B9:D9"/>
    <mergeCell ref="G7:K7"/>
    <mergeCell ref="A1:T4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895F7A-F6B4-443F-A80A-96768906FC16}">
  <sheetPr codeName="Sheet2"/>
  <dimension ref="A1:U305"/>
  <sheetViews>
    <sheetView showGridLines="0" tabSelected="1" zoomScale="90" zoomScaleNormal="90" workbookViewId="0">
      <selection activeCell="A6" sqref="A6"/>
    </sheetView>
  </sheetViews>
  <sheetFormatPr defaultRowHeight="15" x14ac:dyDescent="0.25"/>
  <cols>
    <col min="1" max="2" width="1.28515625" customWidth="1"/>
    <col min="3" max="3" width="1.5703125" customWidth="1"/>
    <col min="4" max="4" width="0.85546875" customWidth="1"/>
    <col min="5" max="5" width="16.85546875" bestFit="1" customWidth="1"/>
    <col min="6" max="6" width="20.7109375" bestFit="1" customWidth="1"/>
    <col min="7" max="7" width="31" bestFit="1" customWidth="1"/>
    <col min="8" max="12" width="10.5703125" customWidth="1"/>
    <col min="13" max="13" width="17.28515625" bestFit="1" customWidth="1"/>
    <col min="14" max="14" width="12.140625" customWidth="1"/>
    <col min="15" max="15" width="12.85546875" customWidth="1"/>
    <col min="16" max="20" width="11.42578125" customWidth="1"/>
    <col min="21" max="21" width="18.5703125" customWidth="1"/>
  </cols>
  <sheetData>
    <row r="1" spans="1:21" ht="15" customHeight="1" x14ac:dyDescent="0.25">
      <c r="E1" s="79" t="str">
        <f>CONCATENATE("PAYROLL ","(",DASHBOARD!E9,"-",DASHBOARD!E5,")")</f>
        <v>PAYROLL (September-2022)</v>
      </c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9"/>
      <c r="S1" s="79"/>
      <c r="T1" s="79"/>
      <c r="U1" s="79"/>
    </row>
    <row r="2" spans="1:21" ht="15" customHeight="1" x14ac:dyDescent="0.25">
      <c r="A2" t="s">
        <v>10</v>
      </c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79"/>
      <c r="S2" s="79"/>
      <c r="T2" s="79"/>
      <c r="U2" s="79"/>
    </row>
    <row r="3" spans="1:21" ht="15" customHeight="1" x14ac:dyDescent="0.25">
      <c r="E3" s="79"/>
      <c r="F3" s="79"/>
      <c r="G3" s="79"/>
      <c r="H3" s="79"/>
      <c r="I3" s="79"/>
      <c r="J3" s="79"/>
      <c r="K3" s="79"/>
      <c r="L3" s="79"/>
      <c r="M3" s="79"/>
      <c r="N3" s="79"/>
      <c r="O3" s="79"/>
      <c r="P3" s="79"/>
      <c r="Q3" s="79"/>
      <c r="R3" s="79"/>
      <c r="S3" s="79"/>
      <c r="T3" s="79"/>
      <c r="U3" s="79"/>
    </row>
    <row r="4" spans="1:21" x14ac:dyDescent="0.25">
      <c r="K4" s="56"/>
      <c r="L4" s="56"/>
      <c r="M4" s="56"/>
      <c r="N4" s="56"/>
      <c r="O4" s="56"/>
      <c r="P4" s="43"/>
      <c r="Q4" s="43">
        <f>MONTH(DASHBOARD!E7)+1</f>
        <v>10</v>
      </c>
      <c r="R4" s="43">
        <f>Q4-1</f>
        <v>9</v>
      </c>
      <c r="S4" s="43"/>
      <c r="T4" s="56"/>
    </row>
    <row r="5" spans="1:21" ht="15.75" thickBot="1" x14ac:dyDescent="0.3">
      <c r="K5" s="56"/>
      <c r="L5" s="56"/>
      <c r="M5" s="56"/>
      <c r="N5" s="56"/>
      <c r="O5" s="56"/>
      <c r="P5" s="43"/>
      <c r="Q5" s="56"/>
      <c r="R5" s="56"/>
      <c r="S5" s="56"/>
      <c r="T5" s="56"/>
    </row>
    <row r="6" spans="1:21" ht="19.5" thickBot="1" x14ac:dyDescent="0.35">
      <c r="F6" s="55" t="s">
        <v>77</v>
      </c>
      <c r="G6" s="69" t="s">
        <v>12</v>
      </c>
      <c r="I6" s="78" t="s">
        <v>82</v>
      </c>
      <c r="J6" s="78"/>
      <c r="K6" s="78"/>
      <c r="L6" s="78"/>
      <c r="M6" s="57">
        <f>SUBTOTAL(9,U12:U1048576)</f>
        <v>0</v>
      </c>
      <c r="P6" s="43"/>
      <c r="Q6" s="56"/>
      <c r="R6" s="56"/>
      <c r="S6" s="56"/>
      <c r="T6" s="56"/>
    </row>
    <row r="7" spans="1:21" x14ac:dyDescent="0.25">
      <c r="O7" s="56"/>
      <c r="P7" s="43"/>
      <c r="Q7" s="56"/>
      <c r="R7" s="56"/>
      <c r="S7" s="56"/>
      <c r="T7" s="56"/>
    </row>
    <row r="8" spans="1:21" x14ac:dyDescent="0.25">
      <c r="K8" s="56"/>
      <c r="L8" s="56"/>
      <c r="M8" s="56"/>
      <c r="N8" s="56"/>
      <c r="O8" s="56"/>
      <c r="P8" s="43"/>
      <c r="Q8" s="43">
        <f>YEAR(DASHBOARD!E7)</f>
        <v>2022</v>
      </c>
      <c r="R8" s="43"/>
      <c r="S8" s="56"/>
      <c r="T8" s="56"/>
    </row>
    <row r="9" spans="1:21" ht="15.75" thickBot="1" x14ac:dyDescent="0.3"/>
    <row r="10" spans="1:21" ht="15.75" thickBot="1" x14ac:dyDescent="0.3">
      <c r="H10" s="75" t="s">
        <v>33</v>
      </c>
      <c r="I10" s="76"/>
      <c r="J10" s="76"/>
      <c r="K10" s="76"/>
      <c r="L10" s="76"/>
      <c r="M10" s="77"/>
      <c r="P10" s="75" t="s">
        <v>38</v>
      </c>
      <c r="Q10" s="76"/>
      <c r="R10" s="76"/>
      <c r="S10" s="76"/>
      <c r="T10" s="77"/>
    </row>
    <row r="11" spans="1:21" ht="60" x14ac:dyDescent="0.25">
      <c r="E11" s="40" t="s">
        <v>0</v>
      </c>
      <c r="F11" s="40" t="s">
        <v>1</v>
      </c>
      <c r="G11" s="40" t="s">
        <v>2</v>
      </c>
      <c r="H11" s="41" t="s">
        <v>28</v>
      </c>
      <c r="I11" s="41" t="s">
        <v>39</v>
      </c>
      <c r="J11" s="41" t="s">
        <v>40</v>
      </c>
      <c r="K11" s="41" t="s">
        <v>31</v>
      </c>
      <c r="L11" s="41" t="s">
        <v>30</v>
      </c>
      <c r="M11" s="41" t="s">
        <v>32</v>
      </c>
      <c r="N11" s="40" t="s">
        <v>8</v>
      </c>
      <c r="O11" s="42" t="s">
        <v>41</v>
      </c>
      <c r="P11" s="41" t="s">
        <v>34</v>
      </c>
      <c r="Q11" s="41" t="s">
        <v>35</v>
      </c>
      <c r="R11" s="41" t="s">
        <v>43</v>
      </c>
      <c r="S11" s="41" t="s">
        <v>36</v>
      </c>
      <c r="T11" s="41" t="s">
        <v>42</v>
      </c>
      <c r="U11" s="40" t="s">
        <v>37</v>
      </c>
    </row>
    <row r="12" spans="1:21" ht="15.75" thickBot="1" x14ac:dyDescent="0.3">
      <c r="E12" s="46" t="str" cm="1">
        <f t="array" ref="E12">IFERROR(_xlfn._xlws.FILTER(#REF!,(#REF!=R4)*(#REF!=Q8)),"")</f>
        <v/>
      </c>
      <c r="F12" s="47" t="str">
        <f>IF(E12="","",IF(VLOOKUP(E12,Employees!A:L,2,0)="","",VLOOKUP(E12,Employees!A:L,2,0)))</f>
        <v/>
      </c>
      <c r="G12" s="47" t="str">
        <f>IF(E12="","",VLOOKUP(F12,Employees!B:M,2,0))</f>
        <v/>
      </c>
      <c r="H12" s="48" t="str">
        <f>IF(N12="","",(N12*0.6666))</f>
        <v/>
      </c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9"/>
    </row>
    <row r="13" spans="1:21" ht="15.75" thickBot="1" x14ac:dyDescent="0.3">
      <c r="E13" s="50"/>
      <c r="F13" s="51" t="str">
        <f>IF(E13="","",IF(VLOOKUP(E13,Employees!A:L,2,0)="","",VLOOKUP(E13,Employees!A:L,2,0)))</f>
        <v/>
      </c>
      <c r="G13" s="51" t="str">
        <f>IF(E13="","",VLOOKUP(F13,Employees!B:M,2,0))</f>
        <v/>
      </c>
      <c r="H13" s="52" t="str">
        <f>IFERROR(ROUNDUP(IF(E13="","",((VLOOKUP(E13,Employees!A:L,12,0)-5000)*66.6666/100)),0),"")</f>
        <v/>
      </c>
      <c r="I13" s="53" t="str">
        <f>IFERROR(ROUNDDOWN(IF($E13="","",0.1*$H13),0),"")</f>
        <v/>
      </c>
      <c r="J13" s="53" t="str">
        <f>IFERROR(IF($E13="","",5000),"")</f>
        <v/>
      </c>
      <c r="K13" s="53" t="str">
        <f>IFERROR(ROUNDDOWN(IF($E13="","",0.3*$H13),0),"")</f>
        <v/>
      </c>
      <c r="L13" s="53" t="str">
        <f>IFERROR(ROUND(IF($E13="","",0.1*$H13),0),"")</f>
        <v/>
      </c>
      <c r="M13" s="53" t="str">
        <f>IF($E13="","",0)</f>
        <v/>
      </c>
      <c r="N13" s="53" t="str">
        <f>IF(E13="","",SUM(H13:M13))</f>
        <v/>
      </c>
      <c r="O13" s="53" t="str" cm="1">
        <f t="array" ref="O13">IF(E13="","",_xlfn._xlws.FILTER(#REF!,(#REF!=E13)*(#REF!=$R$4)*(#REF!=$Q$8)))</f>
        <v/>
      </c>
      <c r="P13" s="53" t="str">
        <f>IF(E13="","",VLOOKUP(E13,Calculations!$E$21:$P$98,12,0))</f>
        <v/>
      </c>
      <c r="Q13" s="53" t="str">
        <f>IF(E13="","",IF(VLOOKUP(E13,Calculations!$E$22:$U$1048576,17,0)="YES",ROUNDUP((H13*8%),0),0))</f>
        <v/>
      </c>
      <c r="R13" s="53" t="str" cm="1">
        <f t="array" ref="R13">IF(E13="","",(N13/30)*(_xlfn._xlws.FILTER(#REF!,(#REF!=E13)*(#REF!=$R$4)*(#REF!=$Q$8))+_xlfn._xlws.FILTER(#REF!,(#REF!=E13)*(#REF!=$R$4)*(#REF!=$Q$8))))</f>
        <v/>
      </c>
      <c r="S13" s="53" t="str" cm="1">
        <f t="array" ref="S13">IF(E13="","",ROUNDUP((N13/30)*(_xlfn._xlws.FILTER(#REF!,(#REF!=E13)*(#REF!=$R$4)*(#REF!=$Q$8))),0))</f>
        <v/>
      </c>
      <c r="T13" s="53" t="str">
        <f>IF(E13="","",ROUNDUP(SUM(P13:S13),0))</f>
        <v/>
      </c>
      <c r="U13" s="54" t="str">
        <f>IF(E13="","",N13-T13)</f>
        <v/>
      </c>
    </row>
    <row r="14" spans="1:21" ht="15.75" thickBot="1" x14ac:dyDescent="0.3">
      <c r="E14" s="50"/>
      <c r="F14" s="51" t="str">
        <f>IF(E14="","",IF(VLOOKUP(E14,Employees!A:L,2,0)="","",VLOOKUP(E14,Employees!A:L,2,0)))</f>
        <v/>
      </c>
      <c r="G14" s="51" t="str">
        <f>IF(E14="","",VLOOKUP(F14,Employees!B:M,2,0))</f>
        <v/>
      </c>
      <c r="H14" s="52" t="str">
        <f>IFERROR(ROUNDUP(IF(E14="","",((VLOOKUP(E14,Employees!A:L,12,0)-5000)*66.6666/100)),0),"")</f>
        <v/>
      </c>
      <c r="I14" s="52" t="str">
        <f t="shared" ref="I14:I77" si="0">IFERROR(ROUNDDOWN(IF($E14="","",0.1*$H14),0),"")</f>
        <v/>
      </c>
      <c r="J14" s="52" t="str">
        <f t="shared" ref="J14:J77" si="1">IFERROR(IF($E14="","",5000),"")</f>
        <v/>
      </c>
      <c r="K14" s="52" t="str">
        <f t="shared" ref="K14:K77" si="2">IFERROR(ROUNDDOWN(IF($E14="","",0.3*$H14),0),"")</f>
        <v/>
      </c>
      <c r="L14" s="52" t="str">
        <f t="shared" ref="L14:L77" si="3">IFERROR(ROUND(IF($E14="","",0.1*$H14),0),"")</f>
        <v/>
      </c>
      <c r="M14" s="53" t="str">
        <f t="shared" ref="M14:M77" si="4">IF($E14="","",0)</f>
        <v/>
      </c>
      <c r="N14" s="52" t="str">
        <f t="shared" ref="N14:N77" si="5">IF(E14="","",SUM(H14:M14))</f>
        <v/>
      </c>
      <c r="O14" s="52" t="str" cm="1">
        <f t="array" ref="O14">IF(E14="","",_xlfn._xlws.FILTER(#REF!,(#REF!=E14)*(#REF!=$R$4)*(#REF!=$Q$8)))</f>
        <v/>
      </c>
      <c r="P14" s="52" t="str">
        <f>IF(E14="","",VLOOKUP(E14,Calculations!$E$21:$P$98,12,0))</f>
        <v/>
      </c>
      <c r="Q14" s="53" t="str">
        <f>IF(E14="","",IF(VLOOKUP(E14,Calculations!$E$22:$U$1048576,17,0)="YES",ROUNDUP((H14*8%),0),0))</f>
        <v/>
      </c>
      <c r="R14" s="52" t="str" cm="1">
        <f t="array" ref="R14">IF(E14="","",(N14/30)*(_xlfn._xlws.FILTER(#REF!,(#REF!=E14)*(#REF!=$R$4)*(#REF!=$Q$8))+_xlfn._xlws.FILTER(#REF!,(#REF!=E14)*(#REF!=$R$4)*(#REF!=$Q$8))))</f>
        <v/>
      </c>
      <c r="S14" s="52" t="str" cm="1">
        <f t="array" ref="S14">IF(E14="","",ROUNDUP((N14/30)*(_xlfn._xlws.FILTER(#REF!,(#REF!=E14)*(#REF!=$R$4)*(#REF!=$Q$8))),0))</f>
        <v/>
      </c>
      <c r="T14" s="52" t="str">
        <f t="shared" ref="T14:T77" si="6">IF(E14="","",ROUNDUP(SUM(P14:S14),0))</f>
        <v/>
      </c>
      <c r="U14" s="54" t="str">
        <f t="shared" ref="U14:U77" si="7">IF(E14="","",N14-T14)</f>
        <v/>
      </c>
    </row>
    <row r="15" spans="1:21" ht="15.75" thickBot="1" x14ac:dyDescent="0.3">
      <c r="E15" s="50"/>
      <c r="F15" s="51" t="str">
        <f>IF(E15="","",IF(VLOOKUP(E15,Employees!A:L,2,0)="","",VLOOKUP(E15,Employees!A:L,2,0)))</f>
        <v/>
      </c>
      <c r="G15" s="51" t="str">
        <f>IF(E15="","",VLOOKUP(F15,Employees!B:M,2,0))</f>
        <v/>
      </c>
      <c r="H15" s="52" t="str">
        <f>IFERROR(ROUNDUP(IF(E15="","",((VLOOKUP(E15,Employees!A:L,12,0)-5000)*66.6666/100)),0),"")</f>
        <v/>
      </c>
      <c r="I15" s="52" t="str">
        <f t="shared" si="0"/>
        <v/>
      </c>
      <c r="J15" s="52" t="str">
        <f t="shared" si="1"/>
        <v/>
      </c>
      <c r="K15" s="52" t="str">
        <f t="shared" si="2"/>
        <v/>
      </c>
      <c r="L15" s="52" t="str">
        <f t="shared" si="3"/>
        <v/>
      </c>
      <c r="M15" s="53" t="str">
        <f t="shared" si="4"/>
        <v/>
      </c>
      <c r="N15" s="52" t="str">
        <f t="shared" si="5"/>
        <v/>
      </c>
      <c r="O15" s="52" t="str" cm="1">
        <f t="array" ref="O15">IF(E15="","",_xlfn._xlws.FILTER(#REF!,(#REF!=E15)*(#REF!=$R$4)*(#REF!=$Q$8)))</f>
        <v/>
      </c>
      <c r="P15" s="52" t="str">
        <f>IF(E15="","",VLOOKUP(E15,Calculations!$E$21:$P$98,12,0))</f>
        <v/>
      </c>
      <c r="Q15" s="53" t="str">
        <f>IF(E15="","",IF(VLOOKUP(E15,Calculations!$E$22:$U$1048576,17,0)="YES",ROUNDUP((H15*8%),0),0))</f>
        <v/>
      </c>
      <c r="R15" s="52" t="str" cm="1">
        <f t="array" ref="R15">IF(E15="","",(N15/30)*(_xlfn._xlws.FILTER(#REF!,(#REF!=E15)*(#REF!=$R$4)*(#REF!=$Q$8))+_xlfn._xlws.FILTER(#REF!,(#REF!=E15)*(#REF!=$R$4)*(#REF!=$Q$8))))</f>
        <v/>
      </c>
      <c r="S15" s="52" t="str" cm="1">
        <f t="array" ref="S15">IF(E15="","",ROUNDUP((N15/30)*(_xlfn._xlws.FILTER(#REF!,(#REF!=E15)*(#REF!=$R$4)*(#REF!=$Q$8))),0))</f>
        <v/>
      </c>
      <c r="T15" s="52" t="str">
        <f t="shared" si="6"/>
        <v/>
      </c>
      <c r="U15" s="54" t="str">
        <f t="shared" si="7"/>
        <v/>
      </c>
    </row>
    <row r="16" spans="1:21" ht="15.75" thickBot="1" x14ac:dyDescent="0.3">
      <c r="E16" s="50"/>
      <c r="F16" s="51" t="str">
        <f>IF(E16="","",IF(VLOOKUP(E16,Employees!A:L,2,0)="","",VLOOKUP(E16,Employees!A:L,2,0)))</f>
        <v/>
      </c>
      <c r="G16" s="51" t="str">
        <f>IF(E16="","",VLOOKUP(F16,Employees!B:M,2,0))</f>
        <v/>
      </c>
      <c r="H16" s="52" t="str">
        <f>IFERROR(ROUNDUP(IF(E16="","",((VLOOKUP(E16,Employees!A:L,12,0)-5000)*66.6666/100)),0),"")</f>
        <v/>
      </c>
      <c r="I16" s="52" t="str">
        <f t="shared" si="0"/>
        <v/>
      </c>
      <c r="J16" s="52" t="str">
        <f t="shared" si="1"/>
        <v/>
      </c>
      <c r="K16" s="52" t="str">
        <f t="shared" si="2"/>
        <v/>
      </c>
      <c r="L16" s="52" t="str">
        <f t="shared" si="3"/>
        <v/>
      </c>
      <c r="M16" s="53" t="str">
        <f t="shared" si="4"/>
        <v/>
      </c>
      <c r="N16" s="52" t="str">
        <f t="shared" si="5"/>
        <v/>
      </c>
      <c r="O16" s="52" t="str" cm="1">
        <f t="array" ref="O16">IF(E16="","",_xlfn._xlws.FILTER(#REF!,(#REF!=E16)*(#REF!=$R$4)*(#REF!=$Q$8)))</f>
        <v/>
      </c>
      <c r="P16" s="52" t="str">
        <f>IF(E16="","",VLOOKUP(E16,Calculations!$E$21:$P$98,12,0))</f>
        <v/>
      </c>
      <c r="Q16" s="53" t="str">
        <f>IF(E16="","",IF(VLOOKUP(E16,Calculations!$E$22:$U$1048576,17,0)="YES",ROUNDUP((H16*8%),0),0))</f>
        <v/>
      </c>
      <c r="R16" s="52" t="str" cm="1">
        <f t="array" ref="R16">IF(E16="","",(N16/30)*(_xlfn._xlws.FILTER(#REF!,(#REF!=E16)*(#REF!=$R$4)*(#REF!=$Q$8))+_xlfn._xlws.FILTER(#REF!,(#REF!=E16)*(#REF!=$R$4)*(#REF!=$Q$8))))</f>
        <v/>
      </c>
      <c r="S16" s="52" t="str" cm="1">
        <f t="array" ref="S16">IF(E16="","",ROUNDUP((N16/30)*(_xlfn._xlws.FILTER(#REF!,(#REF!=E16)*(#REF!=$R$4)*(#REF!=$Q$8))),0))</f>
        <v/>
      </c>
      <c r="T16" s="52" t="str">
        <f t="shared" si="6"/>
        <v/>
      </c>
      <c r="U16" s="54" t="str">
        <f t="shared" si="7"/>
        <v/>
      </c>
    </row>
    <row r="17" spans="5:21" ht="15.75" thickBot="1" x14ac:dyDescent="0.3">
      <c r="E17" s="50"/>
      <c r="F17" s="51" t="str">
        <f>IF(E17="","",IF(VLOOKUP(E17,Employees!A:L,2,0)="","",VLOOKUP(E17,Employees!A:L,2,0)))</f>
        <v/>
      </c>
      <c r="G17" s="51" t="str">
        <f>IF(E17="","",VLOOKUP(F17,Employees!B:M,2,0))</f>
        <v/>
      </c>
      <c r="H17" s="52" t="str">
        <f>IFERROR(ROUNDUP(IF(E17="","",((VLOOKUP(E17,Employees!A:L,12,0)-5000)*66.6666/100)),0),"")</f>
        <v/>
      </c>
      <c r="I17" s="52" t="str">
        <f t="shared" si="0"/>
        <v/>
      </c>
      <c r="J17" s="52" t="str">
        <f t="shared" si="1"/>
        <v/>
      </c>
      <c r="K17" s="52" t="str">
        <f t="shared" si="2"/>
        <v/>
      </c>
      <c r="L17" s="52" t="str">
        <f t="shared" si="3"/>
        <v/>
      </c>
      <c r="M17" s="53" t="str">
        <f t="shared" si="4"/>
        <v/>
      </c>
      <c r="N17" s="52" t="str">
        <f t="shared" si="5"/>
        <v/>
      </c>
      <c r="O17" s="52" t="str" cm="1">
        <f t="array" ref="O17">IF(E17="","",_xlfn._xlws.FILTER(#REF!,(#REF!=E17)*(#REF!=$R$4)*(#REF!=$Q$8)))</f>
        <v/>
      </c>
      <c r="P17" s="52" t="str">
        <f>IF(E17="","",VLOOKUP(E17,Calculations!$E$21:$P$98,12,0))</f>
        <v/>
      </c>
      <c r="Q17" s="53" t="str">
        <f>IF(E17="","",IF(VLOOKUP(E17,Calculations!$E$22:$U$1048576,17,0)="YES",ROUNDUP((H17*8%),0),0))</f>
        <v/>
      </c>
      <c r="R17" s="52" t="str" cm="1">
        <f t="array" ref="R17">IF(E17="","",(N17/30)*(_xlfn._xlws.FILTER(#REF!,(#REF!=E17)*(#REF!=$R$4)*(#REF!=$Q$8))+_xlfn._xlws.FILTER(#REF!,(#REF!=E17)*(#REF!=$R$4)*(#REF!=$Q$8))))</f>
        <v/>
      </c>
      <c r="S17" s="52" t="str" cm="1">
        <f t="array" ref="S17">IF(E17="","",ROUNDUP((N17/30)*(_xlfn._xlws.FILTER(#REF!,(#REF!=E17)*(#REF!=$R$4)*(#REF!=$Q$8))),0))</f>
        <v/>
      </c>
      <c r="T17" s="52" t="str">
        <f t="shared" si="6"/>
        <v/>
      </c>
      <c r="U17" s="54" t="str">
        <f t="shared" si="7"/>
        <v/>
      </c>
    </row>
    <row r="18" spans="5:21" ht="15.75" thickBot="1" x14ac:dyDescent="0.3">
      <c r="E18" s="50"/>
      <c r="F18" s="51" t="str">
        <f>IF(E18="","",IF(VLOOKUP(E18,Employees!A:L,2,0)="","",VLOOKUP(E18,Employees!A:L,2,0)))</f>
        <v/>
      </c>
      <c r="G18" s="51" t="str">
        <f>IF(E18="","",VLOOKUP(F18,Employees!B:M,2,0))</f>
        <v/>
      </c>
      <c r="H18" s="52" t="str">
        <f>IFERROR(ROUNDUP(IF(E18="","",((VLOOKUP(E18,Employees!A:L,12,0)-5000)*66.6666/100)),0),"")</f>
        <v/>
      </c>
      <c r="I18" s="52" t="str">
        <f t="shared" si="0"/>
        <v/>
      </c>
      <c r="J18" s="52" t="str">
        <f t="shared" si="1"/>
        <v/>
      </c>
      <c r="K18" s="52" t="str">
        <f t="shared" si="2"/>
        <v/>
      </c>
      <c r="L18" s="52" t="str">
        <f t="shared" si="3"/>
        <v/>
      </c>
      <c r="M18" s="53" t="str">
        <f t="shared" si="4"/>
        <v/>
      </c>
      <c r="N18" s="52" t="str">
        <f t="shared" si="5"/>
        <v/>
      </c>
      <c r="O18" s="52" t="str" cm="1">
        <f t="array" ref="O18">IF(E18="","",_xlfn._xlws.FILTER(#REF!,(#REF!=E18)*(#REF!=$R$4)*(#REF!=$Q$8)))</f>
        <v/>
      </c>
      <c r="P18" s="52" t="str">
        <f>IF(E18="","",VLOOKUP(E18,Calculations!$E$21:$P$98,12,0))</f>
        <v/>
      </c>
      <c r="Q18" s="53" t="str">
        <f>IF(E18="","",IF(VLOOKUP(E18,Calculations!$E$22:$U$1048576,17,0)="YES",ROUNDUP((H18*8%),0),0))</f>
        <v/>
      </c>
      <c r="R18" s="52" t="str" cm="1">
        <f t="array" ref="R18">IF(E18="","",(N18/30)*(_xlfn._xlws.FILTER(#REF!,(#REF!=E18)*(#REF!=$R$4)*(#REF!=$Q$8))+_xlfn._xlws.FILTER(#REF!,(#REF!=E18)*(#REF!=$R$4)*(#REF!=$Q$8))))</f>
        <v/>
      </c>
      <c r="S18" s="52" t="str" cm="1">
        <f t="array" ref="S18">IF(E18="","",ROUNDUP((N18/30)*(_xlfn._xlws.FILTER(#REF!,(#REF!=E18)*(#REF!=$R$4)*(#REF!=$Q$8))),0))</f>
        <v/>
      </c>
      <c r="T18" s="52" t="str">
        <f t="shared" si="6"/>
        <v/>
      </c>
      <c r="U18" s="54" t="str">
        <f t="shared" si="7"/>
        <v/>
      </c>
    </row>
    <row r="19" spans="5:21" ht="15.75" thickBot="1" x14ac:dyDescent="0.3">
      <c r="E19" s="50"/>
      <c r="F19" s="51" t="str">
        <f>IF(E19="","",IF(VLOOKUP(E19,Employees!A:L,2,0)="","",VLOOKUP(E19,Employees!A:L,2,0)))</f>
        <v/>
      </c>
      <c r="G19" s="51" t="str">
        <f>IF(E19="","",VLOOKUP(F19,Employees!B:M,2,0))</f>
        <v/>
      </c>
      <c r="H19" s="52" t="str">
        <f>IFERROR(ROUNDUP(IF(E19="","",((VLOOKUP(E19,Employees!A:L,12,0)-5000)*66.6666/100)),0),"")</f>
        <v/>
      </c>
      <c r="I19" s="52" t="str">
        <f t="shared" si="0"/>
        <v/>
      </c>
      <c r="J19" s="52" t="str">
        <f t="shared" si="1"/>
        <v/>
      </c>
      <c r="K19" s="52" t="str">
        <f t="shared" si="2"/>
        <v/>
      </c>
      <c r="L19" s="52" t="str">
        <f t="shared" si="3"/>
        <v/>
      </c>
      <c r="M19" s="53" t="str">
        <f t="shared" si="4"/>
        <v/>
      </c>
      <c r="N19" s="52" t="str">
        <f t="shared" si="5"/>
        <v/>
      </c>
      <c r="O19" s="52" t="str" cm="1">
        <f t="array" ref="O19">IF(E19="","",_xlfn._xlws.FILTER(#REF!,(#REF!=E19)*(#REF!=$R$4)*(#REF!=$Q$8)))</f>
        <v/>
      </c>
      <c r="P19" s="52" t="str">
        <f>IF(E19="","",VLOOKUP(E19,Calculations!$E$21:$P$98,12,0))</f>
        <v/>
      </c>
      <c r="Q19" s="53" t="str">
        <f>IF(E19="","",IF(VLOOKUP(E19,Calculations!$E$22:$U$1048576,17,0)="YES",ROUNDUP((H19*8%),0),0))</f>
        <v/>
      </c>
      <c r="R19" s="52" t="str" cm="1">
        <f t="array" ref="R19">IF(E19="","",(N19/30)*(_xlfn._xlws.FILTER(#REF!,(#REF!=E19)*(#REF!=$R$4)*(#REF!=$Q$8))+_xlfn._xlws.FILTER(#REF!,(#REF!=E19)*(#REF!=$R$4)*(#REF!=$Q$8))))</f>
        <v/>
      </c>
      <c r="S19" s="52" t="str" cm="1">
        <f t="array" ref="S19">IF(E19="","",ROUNDUP((N19/30)*(_xlfn._xlws.FILTER(#REF!,(#REF!=E19)*(#REF!=$R$4)*(#REF!=$Q$8))),0))</f>
        <v/>
      </c>
      <c r="T19" s="52" t="str">
        <f t="shared" si="6"/>
        <v/>
      </c>
      <c r="U19" s="54" t="str">
        <f t="shared" si="7"/>
        <v/>
      </c>
    </row>
    <row r="20" spans="5:21" ht="15.75" thickBot="1" x14ac:dyDescent="0.3">
      <c r="E20" s="50"/>
      <c r="F20" s="51" t="str">
        <f>IF(E20="","",IF(VLOOKUP(E20,Employees!A:L,2,0)="","",VLOOKUP(E20,Employees!A:L,2,0)))</f>
        <v/>
      </c>
      <c r="G20" s="51" t="str">
        <f>IF(E20="","",VLOOKUP(F20,Employees!B:M,2,0))</f>
        <v/>
      </c>
      <c r="H20" s="52" t="str">
        <f>IFERROR(ROUNDUP(IF(E20="","",((VLOOKUP(E20,Employees!A:L,12,0)-5000)*66.6666/100)),0),"")</f>
        <v/>
      </c>
      <c r="I20" s="52" t="str">
        <f t="shared" si="0"/>
        <v/>
      </c>
      <c r="J20" s="52" t="str">
        <f t="shared" si="1"/>
        <v/>
      </c>
      <c r="K20" s="52" t="str">
        <f t="shared" si="2"/>
        <v/>
      </c>
      <c r="L20" s="52" t="str">
        <f t="shared" si="3"/>
        <v/>
      </c>
      <c r="M20" s="53" t="str">
        <f t="shared" si="4"/>
        <v/>
      </c>
      <c r="N20" s="52" t="str">
        <f t="shared" si="5"/>
        <v/>
      </c>
      <c r="O20" s="52" t="str" cm="1">
        <f t="array" ref="O20">IF(E20="","",_xlfn._xlws.FILTER(#REF!,(#REF!=E20)*(#REF!=$R$4)*(#REF!=$Q$8)))</f>
        <v/>
      </c>
      <c r="P20" s="52" t="str">
        <f>IF(E20="","",VLOOKUP(E20,Calculations!$E$21:$P$98,12,0))</f>
        <v/>
      </c>
      <c r="Q20" s="53" t="str">
        <f>IF(E20="","",IF(VLOOKUP(E20,Calculations!$E$22:$U$1048576,17,0)="YES",ROUNDUP((H20*8%),0),0))</f>
        <v/>
      </c>
      <c r="R20" s="52" t="str" cm="1">
        <f t="array" ref="R20">IF(E20="","",(N20/30)*(_xlfn._xlws.FILTER(#REF!,(#REF!=E20)*(#REF!=$R$4)*(#REF!=$Q$8))+_xlfn._xlws.FILTER(#REF!,(#REF!=E20)*(#REF!=$R$4)*(#REF!=$Q$8))))</f>
        <v/>
      </c>
      <c r="S20" s="52" t="str" cm="1">
        <f t="array" ref="S20">IF(E20="","",ROUNDUP((N20/30)*(_xlfn._xlws.FILTER(#REF!,(#REF!=E20)*(#REF!=$R$4)*(#REF!=$Q$8))),0))</f>
        <v/>
      </c>
      <c r="T20" s="52" t="str">
        <f t="shared" si="6"/>
        <v/>
      </c>
      <c r="U20" s="54" t="str">
        <f t="shared" si="7"/>
        <v/>
      </c>
    </row>
    <row r="21" spans="5:21" ht="15.75" thickBot="1" x14ac:dyDescent="0.3">
      <c r="E21" s="50"/>
      <c r="F21" s="51" t="str">
        <f>IF(E21="","",IF(VLOOKUP(E21,Employees!A:L,2,0)="","",VLOOKUP(E21,Employees!A:L,2,0)))</f>
        <v/>
      </c>
      <c r="G21" s="51" t="str">
        <f>IF(E21="","",VLOOKUP(F21,Employees!B:M,2,0))</f>
        <v/>
      </c>
      <c r="H21" s="52" t="str">
        <f>IFERROR(ROUNDUP(IF(E21="","",((VLOOKUP(E21,Employees!A:L,12,0)-5000)*66.6666/100)),0),"")</f>
        <v/>
      </c>
      <c r="I21" s="52" t="str">
        <f t="shared" si="0"/>
        <v/>
      </c>
      <c r="J21" s="52" t="str">
        <f t="shared" si="1"/>
        <v/>
      </c>
      <c r="K21" s="52" t="str">
        <f t="shared" si="2"/>
        <v/>
      </c>
      <c r="L21" s="52" t="str">
        <f t="shared" si="3"/>
        <v/>
      </c>
      <c r="M21" s="53" t="str">
        <f t="shared" si="4"/>
        <v/>
      </c>
      <c r="N21" s="52" t="str">
        <f t="shared" si="5"/>
        <v/>
      </c>
      <c r="O21" s="52" t="str" cm="1">
        <f t="array" ref="O21">IF(E21="","",_xlfn._xlws.FILTER(#REF!,(#REF!=E21)*(#REF!=$R$4)*(#REF!=$Q$8)))</f>
        <v/>
      </c>
      <c r="P21" s="52" t="str">
        <f>IF(E21="","",VLOOKUP(E21,Calculations!$E$21:$P$98,12,0))</f>
        <v/>
      </c>
      <c r="Q21" s="53" t="str">
        <f>IF(E21="","",IF(VLOOKUP(E21,Calculations!$E$22:$U$1048576,17,0)="YES",ROUNDUP((H21*8%),0),0))</f>
        <v/>
      </c>
      <c r="R21" s="52" t="str" cm="1">
        <f t="array" ref="R21">IF(E21="","",(N21/30)*(_xlfn._xlws.FILTER(#REF!,(#REF!=E21)*(#REF!=$R$4)*(#REF!=$Q$8))+_xlfn._xlws.FILTER(#REF!,(#REF!=E21)*(#REF!=$R$4)*(#REF!=$Q$8))))</f>
        <v/>
      </c>
      <c r="S21" s="52" t="str" cm="1">
        <f t="array" ref="S21">IF(E21="","",ROUNDUP((N21/30)*(_xlfn._xlws.FILTER(#REF!,(#REF!=E21)*(#REF!=$R$4)*(#REF!=$Q$8))),0))</f>
        <v/>
      </c>
      <c r="T21" s="52" t="str">
        <f t="shared" si="6"/>
        <v/>
      </c>
      <c r="U21" s="54" t="str">
        <f t="shared" si="7"/>
        <v/>
      </c>
    </row>
    <row r="22" spans="5:21" ht="15.75" thickBot="1" x14ac:dyDescent="0.3">
      <c r="E22" s="50"/>
      <c r="F22" s="51" t="str">
        <f>IF(E22="","",IF(VLOOKUP(E22,Employees!A:L,2,0)="","",VLOOKUP(E22,Employees!A:L,2,0)))</f>
        <v/>
      </c>
      <c r="G22" s="51" t="str">
        <f>IF(E22="","",VLOOKUP(F22,Employees!B:M,2,0))</f>
        <v/>
      </c>
      <c r="H22" s="52" t="str">
        <f>IFERROR(ROUNDUP(IF(E22="","",((VLOOKUP(E22,Employees!A:L,12,0)-5000)*66.6666/100)),0),"")</f>
        <v/>
      </c>
      <c r="I22" s="52" t="str">
        <f t="shared" si="0"/>
        <v/>
      </c>
      <c r="J22" s="52" t="str">
        <f t="shared" si="1"/>
        <v/>
      </c>
      <c r="K22" s="52" t="str">
        <f t="shared" si="2"/>
        <v/>
      </c>
      <c r="L22" s="52" t="str">
        <f t="shared" si="3"/>
        <v/>
      </c>
      <c r="M22" s="53" t="str">
        <f t="shared" si="4"/>
        <v/>
      </c>
      <c r="N22" s="52" t="str">
        <f t="shared" si="5"/>
        <v/>
      </c>
      <c r="O22" s="52" t="str" cm="1">
        <f t="array" ref="O22">IF(E22="","",_xlfn._xlws.FILTER(#REF!,(#REF!=E22)*(#REF!=$R$4)*(#REF!=$Q$8)))</f>
        <v/>
      </c>
      <c r="P22" s="52" t="str">
        <f>IF(E22="","",VLOOKUP(E22,Calculations!$E$21:$P$98,12,0))</f>
        <v/>
      </c>
      <c r="Q22" s="53" t="str">
        <f>IF(E22="","",IF(VLOOKUP(E22,Calculations!$E$22:$U$1048576,17,0)="YES",ROUNDUP((H22*8%),0),0))</f>
        <v/>
      </c>
      <c r="R22" s="52" t="str" cm="1">
        <f t="array" ref="R22">IF(E22="","",(N22/30)*(_xlfn._xlws.FILTER(#REF!,(#REF!=E22)*(#REF!=$R$4)*(#REF!=$Q$8))+_xlfn._xlws.FILTER(#REF!,(#REF!=E22)*(#REF!=$R$4)*(#REF!=$Q$8))))</f>
        <v/>
      </c>
      <c r="S22" s="52" t="str" cm="1">
        <f t="array" ref="S22">IF(E22="","",ROUNDUP((N22/30)*(_xlfn._xlws.FILTER(#REF!,(#REF!=E22)*(#REF!=$R$4)*(#REF!=$Q$8))),0))</f>
        <v/>
      </c>
      <c r="T22" s="52" t="str">
        <f t="shared" si="6"/>
        <v/>
      </c>
      <c r="U22" s="54" t="str">
        <f t="shared" si="7"/>
        <v/>
      </c>
    </row>
    <row r="23" spans="5:21" ht="15.75" thickBot="1" x14ac:dyDescent="0.3">
      <c r="E23" s="50"/>
      <c r="F23" s="51" t="str">
        <f>IF(E23="","",IF(VLOOKUP(E23,Employees!A:L,2,0)="","",VLOOKUP(E23,Employees!A:L,2,0)))</f>
        <v/>
      </c>
      <c r="G23" s="51" t="str">
        <f>IF(E23="","",VLOOKUP(F23,Employees!B:M,2,0))</f>
        <v/>
      </c>
      <c r="H23" s="52" t="str">
        <f>IFERROR(ROUNDUP(IF(E23="","",((VLOOKUP(E23,Employees!A:L,12,0)-5000)*66.6666/100)),0),"")</f>
        <v/>
      </c>
      <c r="I23" s="52" t="str">
        <f t="shared" si="0"/>
        <v/>
      </c>
      <c r="J23" s="52" t="str">
        <f t="shared" si="1"/>
        <v/>
      </c>
      <c r="K23" s="52" t="str">
        <f t="shared" si="2"/>
        <v/>
      </c>
      <c r="L23" s="52" t="str">
        <f t="shared" si="3"/>
        <v/>
      </c>
      <c r="M23" s="53" t="str">
        <f t="shared" si="4"/>
        <v/>
      </c>
      <c r="N23" s="52" t="str">
        <f t="shared" si="5"/>
        <v/>
      </c>
      <c r="O23" s="52" t="str" cm="1">
        <f t="array" ref="O23">IF(E23="","",_xlfn._xlws.FILTER(#REF!,(#REF!=E23)*(#REF!=$R$4)*(#REF!=$Q$8)))</f>
        <v/>
      </c>
      <c r="P23" s="52" t="str">
        <f>IF(E23="","",VLOOKUP(E23,Calculations!$E$21:$P$98,12,0))</f>
        <v/>
      </c>
      <c r="Q23" s="53" t="str">
        <f>IF(E23="","",IF(VLOOKUP(E23,Calculations!$E$22:$U$1048576,17,0)="YES",ROUNDUP((H23*8%),0),0))</f>
        <v/>
      </c>
      <c r="R23" s="52" t="str" cm="1">
        <f t="array" ref="R23">IF(E23="","",(N23/30)*(_xlfn._xlws.FILTER(#REF!,(#REF!=E23)*(#REF!=$R$4)*(#REF!=$Q$8))+_xlfn._xlws.FILTER(#REF!,(#REF!=E23)*(#REF!=$R$4)*(#REF!=$Q$8))))</f>
        <v/>
      </c>
      <c r="S23" s="52" t="str" cm="1">
        <f t="array" ref="S23">IF(E23="","",ROUNDUP((N23/30)*(_xlfn._xlws.FILTER(#REF!,(#REF!=E23)*(#REF!=$R$4)*(#REF!=$Q$8))),0))</f>
        <v/>
      </c>
      <c r="T23" s="52" t="str">
        <f t="shared" si="6"/>
        <v/>
      </c>
      <c r="U23" s="54" t="str">
        <f t="shared" si="7"/>
        <v/>
      </c>
    </row>
    <row r="24" spans="5:21" ht="15.75" thickBot="1" x14ac:dyDescent="0.3">
      <c r="E24" s="50"/>
      <c r="F24" s="51" t="str">
        <f>IF(E24="","",IF(VLOOKUP(E24,Employees!A:L,2,0)="","",VLOOKUP(E24,Employees!A:L,2,0)))</f>
        <v/>
      </c>
      <c r="G24" s="51" t="str">
        <f>IF(E24="","",VLOOKUP(F24,Employees!B:M,2,0))</f>
        <v/>
      </c>
      <c r="H24" s="52" t="str">
        <f>IFERROR(ROUNDUP(IF(E24="","",((VLOOKUP(E24,Employees!A:L,12,0)-5000)*66.6666/100)),0),"")</f>
        <v/>
      </c>
      <c r="I24" s="52" t="str">
        <f t="shared" si="0"/>
        <v/>
      </c>
      <c r="J24" s="52" t="str">
        <f t="shared" si="1"/>
        <v/>
      </c>
      <c r="K24" s="52" t="str">
        <f t="shared" si="2"/>
        <v/>
      </c>
      <c r="L24" s="52" t="str">
        <f t="shared" si="3"/>
        <v/>
      </c>
      <c r="M24" s="53" t="str">
        <f t="shared" si="4"/>
        <v/>
      </c>
      <c r="N24" s="52" t="str">
        <f t="shared" si="5"/>
        <v/>
      </c>
      <c r="O24" s="52" t="str" cm="1">
        <f t="array" ref="O24">IF(E24="","",_xlfn._xlws.FILTER(#REF!,(#REF!=E24)*(#REF!=$R$4)*(#REF!=$Q$8)))</f>
        <v/>
      </c>
      <c r="P24" s="52" t="str">
        <f>IF(E24="","",VLOOKUP(E24,Calculations!$E$21:$P$98,12,0))</f>
        <v/>
      </c>
      <c r="Q24" s="53" t="str">
        <f>IF(E24="","",IF(VLOOKUP(E24,Calculations!$E$22:$U$1048576,17,0)="YES",ROUNDUP((H24*8%),0),0))</f>
        <v/>
      </c>
      <c r="R24" s="52" t="str" cm="1">
        <f t="array" ref="R24">IF(E24="","",(N24/30)*(_xlfn._xlws.FILTER(#REF!,(#REF!=E24)*(#REF!=$R$4)*(#REF!=$Q$8))+_xlfn._xlws.FILTER(#REF!,(#REF!=E24)*(#REF!=$R$4)*(#REF!=$Q$8))))</f>
        <v/>
      </c>
      <c r="S24" s="52" t="str" cm="1">
        <f t="array" ref="S24">IF(E24="","",ROUNDUP((N24/30)*(_xlfn._xlws.FILTER(#REF!,(#REF!=E24)*(#REF!=$R$4)*(#REF!=$Q$8))),0))</f>
        <v/>
      </c>
      <c r="T24" s="52" t="str">
        <f t="shared" si="6"/>
        <v/>
      </c>
      <c r="U24" s="54" t="str">
        <f t="shared" si="7"/>
        <v/>
      </c>
    </row>
    <row r="25" spans="5:21" ht="15.75" thickBot="1" x14ac:dyDescent="0.3">
      <c r="E25" s="50"/>
      <c r="F25" s="51" t="str">
        <f>IF(E25="","",IF(VLOOKUP(E25,Employees!A:L,2,0)="","",VLOOKUP(E25,Employees!A:L,2,0)))</f>
        <v/>
      </c>
      <c r="G25" s="51" t="str">
        <f>IF(E25="","",VLOOKUP(F25,Employees!B:M,2,0))</f>
        <v/>
      </c>
      <c r="H25" s="52" t="str">
        <f>IFERROR(ROUNDUP(IF(E25="","",((VLOOKUP(E25,Employees!A:L,12,0)-5000)*66.6666/100)),0),"")</f>
        <v/>
      </c>
      <c r="I25" s="52" t="str">
        <f t="shared" si="0"/>
        <v/>
      </c>
      <c r="J25" s="52" t="str">
        <f t="shared" si="1"/>
        <v/>
      </c>
      <c r="K25" s="52" t="str">
        <f t="shared" si="2"/>
        <v/>
      </c>
      <c r="L25" s="52" t="str">
        <f t="shared" si="3"/>
        <v/>
      </c>
      <c r="M25" s="53" t="str">
        <f t="shared" si="4"/>
        <v/>
      </c>
      <c r="N25" s="52" t="str">
        <f t="shared" si="5"/>
        <v/>
      </c>
      <c r="O25" s="52" t="str" cm="1">
        <f t="array" ref="O25">IF(E25="","",_xlfn._xlws.FILTER(#REF!,(#REF!=E25)*(#REF!=$R$4)*(#REF!=$Q$8)))</f>
        <v/>
      </c>
      <c r="P25" s="52" t="str">
        <f>IF(E25="","",VLOOKUP(E25,Calculations!$E$21:$P$98,12,0))</f>
        <v/>
      </c>
      <c r="Q25" s="53" t="str">
        <f>IF(E25="","",IF(VLOOKUP(E25,Calculations!$E$22:$U$1048576,17,0)="YES",ROUNDUP((H25*8%),0),0))</f>
        <v/>
      </c>
      <c r="R25" s="52" t="str" cm="1">
        <f t="array" ref="R25">IF(E25="","",(N25/30)*(_xlfn._xlws.FILTER(#REF!,(#REF!=E25)*(#REF!=$R$4)*(#REF!=$Q$8))+_xlfn._xlws.FILTER(#REF!,(#REF!=E25)*(#REF!=$R$4)*(#REF!=$Q$8))))</f>
        <v/>
      </c>
      <c r="S25" s="52" t="str" cm="1">
        <f t="array" ref="S25">IF(E25="","",ROUNDUP((N25/30)*(_xlfn._xlws.FILTER(#REF!,(#REF!=E25)*(#REF!=$R$4)*(#REF!=$Q$8))),0))</f>
        <v/>
      </c>
      <c r="T25" s="52" t="str">
        <f t="shared" si="6"/>
        <v/>
      </c>
      <c r="U25" s="54" t="str">
        <f t="shared" si="7"/>
        <v/>
      </c>
    </row>
    <row r="26" spans="5:21" ht="15.75" thickBot="1" x14ac:dyDescent="0.3">
      <c r="E26" s="50"/>
      <c r="F26" s="51" t="str">
        <f>IF(E26="","",IF(VLOOKUP(E26,Employees!A:L,2,0)="","",VLOOKUP(E26,Employees!A:L,2,0)))</f>
        <v/>
      </c>
      <c r="G26" s="51" t="str">
        <f>IF(E26="","",VLOOKUP(F26,Employees!B:M,2,0))</f>
        <v/>
      </c>
      <c r="H26" s="52" t="str">
        <f>IFERROR(ROUNDUP(IF(E26="","",((VLOOKUP(E26,Employees!A:L,12,0)-5000)*66.6666/100)),0),"")</f>
        <v/>
      </c>
      <c r="I26" s="52" t="str">
        <f t="shared" si="0"/>
        <v/>
      </c>
      <c r="J26" s="52" t="str">
        <f t="shared" si="1"/>
        <v/>
      </c>
      <c r="K26" s="52" t="str">
        <f t="shared" si="2"/>
        <v/>
      </c>
      <c r="L26" s="52" t="str">
        <f t="shared" si="3"/>
        <v/>
      </c>
      <c r="M26" s="53" t="str">
        <f t="shared" si="4"/>
        <v/>
      </c>
      <c r="N26" s="52" t="str">
        <f t="shared" si="5"/>
        <v/>
      </c>
      <c r="O26" s="52" t="str" cm="1">
        <f t="array" ref="O26">IF(E26="","",_xlfn._xlws.FILTER(#REF!,(#REF!=E26)*(#REF!=$R$4)*(#REF!=$Q$8)))</f>
        <v/>
      </c>
      <c r="P26" s="52" t="str">
        <f>IF(E26="","",VLOOKUP(E26,Calculations!$E$21:$P$98,12,0))</f>
        <v/>
      </c>
      <c r="Q26" s="53" t="str">
        <f>IF(E26="","",IF(VLOOKUP(E26,Calculations!$E$22:$U$1048576,17,0)="YES",ROUNDUP((H26*8%),0),0))</f>
        <v/>
      </c>
      <c r="R26" s="52" t="str" cm="1">
        <f t="array" ref="R26">IF(E26="","",(N26/30)*(_xlfn._xlws.FILTER(#REF!,(#REF!=E26)*(#REF!=$R$4)*(#REF!=$Q$8))+_xlfn._xlws.FILTER(#REF!,(#REF!=E26)*(#REF!=$R$4)*(#REF!=$Q$8))))</f>
        <v/>
      </c>
      <c r="S26" s="52" t="str" cm="1">
        <f t="array" ref="S26">IF(E26="","",ROUNDUP((N26/30)*(_xlfn._xlws.FILTER(#REF!,(#REF!=E26)*(#REF!=$R$4)*(#REF!=$Q$8))),0))</f>
        <v/>
      </c>
      <c r="T26" s="52" t="str">
        <f t="shared" si="6"/>
        <v/>
      </c>
      <c r="U26" s="54" t="str">
        <f t="shared" si="7"/>
        <v/>
      </c>
    </row>
    <row r="27" spans="5:21" ht="15.75" thickBot="1" x14ac:dyDescent="0.3">
      <c r="E27" s="50"/>
      <c r="F27" s="51" t="str">
        <f>IF(E27="","",IF(VLOOKUP(E27,Employees!A:L,2,0)="","",VLOOKUP(E27,Employees!A:L,2,0)))</f>
        <v/>
      </c>
      <c r="G27" s="51" t="str">
        <f>IF(E27="","",VLOOKUP(F27,Employees!B:M,2,0))</f>
        <v/>
      </c>
      <c r="H27" s="52" t="str">
        <f>IFERROR(ROUNDUP(IF(E27="","",((VLOOKUP(E27,Employees!A:L,12,0)-5000)*66.6666/100)),0),"")</f>
        <v/>
      </c>
      <c r="I27" s="52" t="str">
        <f t="shared" si="0"/>
        <v/>
      </c>
      <c r="J27" s="52" t="str">
        <f t="shared" si="1"/>
        <v/>
      </c>
      <c r="K27" s="52" t="str">
        <f t="shared" si="2"/>
        <v/>
      </c>
      <c r="L27" s="52" t="str">
        <f t="shared" si="3"/>
        <v/>
      </c>
      <c r="M27" s="53" t="str">
        <f t="shared" si="4"/>
        <v/>
      </c>
      <c r="N27" s="52" t="str">
        <f t="shared" si="5"/>
        <v/>
      </c>
      <c r="O27" s="52" t="str" cm="1">
        <f t="array" ref="O27">IF(E27="","",_xlfn._xlws.FILTER(#REF!,(#REF!=E27)*(#REF!=$R$4)*(#REF!=$Q$8)))</f>
        <v/>
      </c>
      <c r="P27" s="52" t="str">
        <f>IF(E27="","",VLOOKUP(E27,Calculations!$E$21:$P$98,12,0))</f>
        <v/>
      </c>
      <c r="Q27" s="53" t="str">
        <f>IF(E27="","",IF(VLOOKUP(E27,Calculations!$E$22:$U$1048576,17,0)="YES",ROUNDUP((H27*8%),0),0))</f>
        <v/>
      </c>
      <c r="R27" s="52" t="str" cm="1">
        <f t="array" ref="R27">IF(E27="","",(N27/30)*(_xlfn._xlws.FILTER(#REF!,(#REF!=E27)*(#REF!=$R$4)*(#REF!=$Q$8))+_xlfn._xlws.FILTER(#REF!,(#REF!=E27)*(#REF!=$R$4)*(#REF!=$Q$8))))</f>
        <v/>
      </c>
      <c r="S27" s="52" t="str" cm="1">
        <f t="array" ref="S27">IF(E27="","",ROUNDUP((N27/30)*(_xlfn._xlws.FILTER(#REF!,(#REF!=E27)*(#REF!=$R$4)*(#REF!=$Q$8))),0))</f>
        <v/>
      </c>
      <c r="T27" s="52" t="str">
        <f t="shared" si="6"/>
        <v/>
      </c>
      <c r="U27" s="54" t="str">
        <f t="shared" si="7"/>
        <v/>
      </c>
    </row>
    <row r="28" spans="5:21" ht="15.75" thickBot="1" x14ac:dyDescent="0.3">
      <c r="E28" s="50"/>
      <c r="F28" s="51" t="str">
        <f>IF(E28="","",IF(VLOOKUP(E28,Employees!A:L,2,0)="","",VLOOKUP(E28,Employees!A:L,2,0)))</f>
        <v/>
      </c>
      <c r="G28" s="51" t="str">
        <f>IF(E28="","",VLOOKUP(F28,Employees!B:M,2,0))</f>
        <v/>
      </c>
      <c r="H28" s="52" t="str">
        <f>IFERROR(ROUNDUP(IF(E28="","",((VLOOKUP(E28,Employees!A:L,12,0)-5000)*66.6666/100)),0),"")</f>
        <v/>
      </c>
      <c r="I28" s="52" t="str">
        <f t="shared" si="0"/>
        <v/>
      </c>
      <c r="J28" s="52" t="str">
        <f t="shared" si="1"/>
        <v/>
      </c>
      <c r="K28" s="52" t="str">
        <f t="shared" si="2"/>
        <v/>
      </c>
      <c r="L28" s="52" t="str">
        <f t="shared" si="3"/>
        <v/>
      </c>
      <c r="M28" s="53" t="str">
        <f t="shared" si="4"/>
        <v/>
      </c>
      <c r="N28" s="52" t="str">
        <f t="shared" si="5"/>
        <v/>
      </c>
      <c r="O28" s="52" t="str" cm="1">
        <f t="array" ref="O28">IF(E28="","",_xlfn._xlws.FILTER(#REF!,(#REF!=E28)*(#REF!=$R$4)*(#REF!=$Q$8)))</f>
        <v/>
      </c>
      <c r="P28" s="52" t="str">
        <f>IF(E28="","",VLOOKUP(E28,Calculations!$E$21:$P$98,12,0))</f>
        <v/>
      </c>
      <c r="Q28" s="53" t="str">
        <f>IF(E28="","",IF(VLOOKUP(E28,Calculations!$E$22:$U$1048576,17,0)="YES",ROUNDUP((H28*8%),0),0))</f>
        <v/>
      </c>
      <c r="R28" s="52" t="str" cm="1">
        <f t="array" ref="R28">IF(E28="","",(N28/30)*(_xlfn._xlws.FILTER(#REF!,(#REF!=E28)*(#REF!=$R$4)*(#REF!=$Q$8))+_xlfn._xlws.FILTER(#REF!,(#REF!=E28)*(#REF!=$R$4)*(#REF!=$Q$8))))</f>
        <v/>
      </c>
      <c r="S28" s="52" t="str" cm="1">
        <f t="array" ref="S28">IF(E28="","",ROUNDUP((N28/30)*(_xlfn._xlws.FILTER(#REF!,(#REF!=E28)*(#REF!=$R$4)*(#REF!=$Q$8))),0))</f>
        <v/>
      </c>
      <c r="T28" s="52" t="str">
        <f t="shared" si="6"/>
        <v/>
      </c>
      <c r="U28" s="54" t="str">
        <f t="shared" si="7"/>
        <v/>
      </c>
    </row>
    <row r="29" spans="5:21" ht="15.75" thickBot="1" x14ac:dyDescent="0.3">
      <c r="E29" s="50"/>
      <c r="F29" s="51" t="str">
        <f>IF(E29="","",IF(VLOOKUP(E29,Employees!A:L,2,0)="","",VLOOKUP(E29,Employees!A:L,2,0)))</f>
        <v/>
      </c>
      <c r="G29" s="51" t="str">
        <f>IF(E29="","",VLOOKUP(F29,Employees!B:M,2,0))</f>
        <v/>
      </c>
      <c r="H29" s="52" t="str">
        <f>IFERROR(ROUNDUP(IF(E29="","",((VLOOKUP(E29,Employees!A:L,12,0)-5000)*66.6666/100)),0),"")</f>
        <v/>
      </c>
      <c r="I29" s="52" t="str">
        <f t="shared" si="0"/>
        <v/>
      </c>
      <c r="J29" s="52" t="str">
        <f t="shared" si="1"/>
        <v/>
      </c>
      <c r="K29" s="52" t="str">
        <f t="shared" si="2"/>
        <v/>
      </c>
      <c r="L29" s="52" t="str">
        <f t="shared" si="3"/>
        <v/>
      </c>
      <c r="M29" s="53" t="str">
        <f t="shared" si="4"/>
        <v/>
      </c>
      <c r="N29" s="52" t="str">
        <f t="shared" si="5"/>
        <v/>
      </c>
      <c r="O29" s="52" t="str" cm="1">
        <f t="array" ref="O29">IF(E29="","",_xlfn._xlws.FILTER(#REF!,(#REF!=E29)*(#REF!=$R$4)*(#REF!=$Q$8)))</f>
        <v/>
      </c>
      <c r="P29" s="52" t="str">
        <f>IF(E29="","",VLOOKUP(E29,Calculations!$E$21:$P$98,12,0))</f>
        <v/>
      </c>
      <c r="Q29" s="53" t="str">
        <f>IF(E29="","",IF(VLOOKUP(E29,Calculations!$E$22:$U$1048576,17,0)="YES",ROUNDUP((H29*8%),0),0))</f>
        <v/>
      </c>
      <c r="R29" s="52" t="str" cm="1">
        <f t="array" ref="R29">IF(E29="","",(N29/30)*(_xlfn._xlws.FILTER(#REF!,(#REF!=E29)*(#REF!=$R$4)*(#REF!=$Q$8))+_xlfn._xlws.FILTER(#REF!,(#REF!=E29)*(#REF!=$R$4)*(#REF!=$Q$8))))</f>
        <v/>
      </c>
      <c r="S29" s="52" t="str" cm="1">
        <f t="array" ref="S29">IF(E29="","",ROUNDUP((N29/30)*(_xlfn._xlws.FILTER(#REF!,(#REF!=E29)*(#REF!=$R$4)*(#REF!=$Q$8))),0))</f>
        <v/>
      </c>
      <c r="T29" s="52" t="str">
        <f t="shared" si="6"/>
        <v/>
      </c>
      <c r="U29" s="54" t="str">
        <f t="shared" si="7"/>
        <v/>
      </c>
    </row>
    <row r="30" spans="5:21" ht="15.75" thickBot="1" x14ac:dyDescent="0.3">
      <c r="E30" s="50"/>
      <c r="F30" s="51" t="str">
        <f>IF(E30="","",IF(VLOOKUP(E30,Employees!A:L,2,0)="","",VLOOKUP(E30,Employees!A:L,2,0)))</f>
        <v/>
      </c>
      <c r="G30" s="51" t="str">
        <f>IF(E30="","",VLOOKUP(F30,Employees!B:M,2,0))</f>
        <v/>
      </c>
      <c r="H30" s="52" t="str">
        <f>IFERROR(ROUNDUP(IF(E30="","",((VLOOKUP(E30,Employees!A:L,12,0)-5000)*66.6666/100)),0),"")</f>
        <v/>
      </c>
      <c r="I30" s="52" t="str">
        <f t="shared" si="0"/>
        <v/>
      </c>
      <c r="J30" s="52" t="str">
        <f t="shared" si="1"/>
        <v/>
      </c>
      <c r="K30" s="52" t="str">
        <f t="shared" si="2"/>
        <v/>
      </c>
      <c r="L30" s="52" t="str">
        <f t="shared" si="3"/>
        <v/>
      </c>
      <c r="M30" s="53" t="str">
        <f t="shared" si="4"/>
        <v/>
      </c>
      <c r="N30" s="52" t="str">
        <f t="shared" si="5"/>
        <v/>
      </c>
      <c r="O30" s="52" t="str" cm="1">
        <f t="array" ref="O30">IF(E30="","",_xlfn._xlws.FILTER(#REF!,(#REF!=E30)*(#REF!=$R$4)*(#REF!=$Q$8)))</f>
        <v/>
      </c>
      <c r="P30" s="52" t="str">
        <f>IF(E30="","",VLOOKUP(E30,Calculations!$E$21:$P$98,12,0))</f>
        <v/>
      </c>
      <c r="Q30" s="53" t="str">
        <f>IF(E30="","",IF(VLOOKUP(E30,Calculations!$E$22:$U$1048576,17,0)="YES",ROUNDUP((H30*8%),0),0))</f>
        <v/>
      </c>
      <c r="R30" s="52" t="str" cm="1">
        <f t="array" ref="R30">IF(E30="","",(N30/30)*(_xlfn._xlws.FILTER(#REF!,(#REF!=E30)*(#REF!=$R$4)*(#REF!=$Q$8))+_xlfn._xlws.FILTER(#REF!,(#REF!=E30)*(#REF!=$R$4)*(#REF!=$Q$8))))</f>
        <v/>
      </c>
      <c r="S30" s="52" t="str" cm="1">
        <f t="array" ref="S30">IF(E30="","",ROUNDUP((N30/30)*(_xlfn._xlws.FILTER(#REF!,(#REF!=E30)*(#REF!=$R$4)*(#REF!=$Q$8))),0))</f>
        <v/>
      </c>
      <c r="T30" s="52" t="str">
        <f t="shared" si="6"/>
        <v/>
      </c>
      <c r="U30" s="54" t="str">
        <f t="shared" si="7"/>
        <v/>
      </c>
    </row>
    <row r="31" spans="5:21" ht="15.75" thickBot="1" x14ac:dyDescent="0.3">
      <c r="E31" s="50"/>
      <c r="F31" s="51" t="str">
        <f>IF(E31="","",IF(VLOOKUP(E31,Employees!A:L,2,0)="","",VLOOKUP(E31,Employees!A:L,2,0)))</f>
        <v/>
      </c>
      <c r="G31" s="51" t="str">
        <f>IF(E31="","",VLOOKUP(F31,Employees!B:M,2,0))</f>
        <v/>
      </c>
      <c r="H31" s="52" t="str">
        <f>IFERROR(ROUNDUP(IF(E31="","",((VLOOKUP(E31,Employees!A:L,12,0)-5000)*66.6666/100)),0),"")</f>
        <v/>
      </c>
      <c r="I31" s="52" t="str">
        <f t="shared" si="0"/>
        <v/>
      </c>
      <c r="J31" s="52" t="str">
        <f t="shared" si="1"/>
        <v/>
      </c>
      <c r="K31" s="52" t="str">
        <f t="shared" si="2"/>
        <v/>
      </c>
      <c r="L31" s="52" t="str">
        <f t="shared" si="3"/>
        <v/>
      </c>
      <c r="M31" s="53" t="str">
        <f t="shared" si="4"/>
        <v/>
      </c>
      <c r="N31" s="52" t="str">
        <f t="shared" si="5"/>
        <v/>
      </c>
      <c r="O31" s="52" t="str" cm="1">
        <f t="array" ref="O31">IF(E31="","",_xlfn._xlws.FILTER(#REF!,(#REF!=E31)*(#REF!=$R$4)*(#REF!=$Q$8)))</f>
        <v/>
      </c>
      <c r="P31" s="52" t="str">
        <f>IF(E31="","",VLOOKUP(E31,Calculations!$E$21:$P$98,12,0))</f>
        <v/>
      </c>
      <c r="Q31" s="53" t="str">
        <f>IF(E31="","",IF(VLOOKUP(E31,Calculations!$E$22:$U$1048576,17,0)="YES",ROUNDUP((H31*8%),0),0))</f>
        <v/>
      </c>
      <c r="R31" s="52" t="str" cm="1">
        <f t="array" ref="R31">IF(E31="","",(N31/30)*(_xlfn._xlws.FILTER(#REF!,(#REF!=E31)*(#REF!=$R$4)*(#REF!=$Q$8))+_xlfn._xlws.FILTER(#REF!,(#REF!=E31)*(#REF!=$R$4)*(#REF!=$Q$8))))</f>
        <v/>
      </c>
      <c r="S31" s="52" t="str" cm="1">
        <f t="array" ref="S31">IF(E31="","",ROUNDUP((N31/30)*(_xlfn._xlws.FILTER(#REF!,(#REF!=E31)*(#REF!=$R$4)*(#REF!=$Q$8))),0))</f>
        <v/>
      </c>
      <c r="T31" s="52" t="str">
        <f t="shared" si="6"/>
        <v/>
      </c>
      <c r="U31" s="54" t="str">
        <f t="shared" si="7"/>
        <v/>
      </c>
    </row>
    <row r="32" spans="5:21" ht="15.75" thickBot="1" x14ac:dyDescent="0.3">
      <c r="E32" s="50"/>
      <c r="F32" s="51" t="str">
        <f>IF(E32="","",IF(VLOOKUP(E32,Employees!A:L,2,0)="","",VLOOKUP(E32,Employees!A:L,2,0)))</f>
        <v/>
      </c>
      <c r="G32" s="51" t="str">
        <f>IF(E32="","",VLOOKUP(F32,Employees!B:M,2,0))</f>
        <v/>
      </c>
      <c r="H32" s="52" t="str">
        <f>IFERROR(ROUNDUP(IF(E32="","",((VLOOKUP(E32,Employees!A:L,12,0)-5000)*66.6666/100)),0),"")</f>
        <v/>
      </c>
      <c r="I32" s="52" t="str">
        <f t="shared" si="0"/>
        <v/>
      </c>
      <c r="J32" s="52" t="str">
        <f t="shared" si="1"/>
        <v/>
      </c>
      <c r="K32" s="52" t="str">
        <f t="shared" si="2"/>
        <v/>
      </c>
      <c r="L32" s="52" t="str">
        <f t="shared" si="3"/>
        <v/>
      </c>
      <c r="M32" s="53" t="str">
        <f t="shared" si="4"/>
        <v/>
      </c>
      <c r="N32" s="52" t="str">
        <f t="shared" si="5"/>
        <v/>
      </c>
      <c r="O32" s="52" t="str" cm="1">
        <f t="array" ref="O32">IF(E32="","",_xlfn._xlws.FILTER(#REF!,(#REF!=E32)*(#REF!=$R$4)*(#REF!=$Q$8)))</f>
        <v/>
      </c>
      <c r="P32" s="52" t="str">
        <f>IF(E32="","",VLOOKUP(E32,Calculations!$E$21:$P$98,12,0))</f>
        <v/>
      </c>
      <c r="Q32" s="53" t="str">
        <f>IF(E32="","",IF(VLOOKUP(E32,Calculations!$E$22:$U$1048576,17,0)="YES",ROUNDUP((H32*8%),0),0))</f>
        <v/>
      </c>
      <c r="R32" s="52" t="str" cm="1">
        <f t="array" ref="R32">IF(E32="","",(N32/30)*(_xlfn._xlws.FILTER(#REF!,(#REF!=E32)*(#REF!=$R$4)*(#REF!=$Q$8))+_xlfn._xlws.FILTER(#REF!,(#REF!=E32)*(#REF!=$R$4)*(#REF!=$Q$8))))</f>
        <v/>
      </c>
      <c r="S32" s="52" t="str" cm="1">
        <f t="array" ref="S32">IF(E32="","",ROUNDUP((N32/30)*(_xlfn._xlws.FILTER(#REF!,(#REF!=E32)*(#REF!=$R$4)*(#REF!=$Q$8))),0))</f>
        <v/>
      </c>
      <c r="T32" s="52" t="str">
        <f t="shared" si="6"/>
        <v/>
      </c>
      <c r="U32" s="54" t="str">
        <f t="shared" si="7"/>
        <v/>
      </c>
    </row>
    <row r="33" spans="5:21" ht="15.75" thickBot="1" x14ac:dyDescent="0.3">
      <c r="E33" s="50"/>
      <c r="F33" s="51" t="str">
        <f>IF(E33="","",IF(VLOOKUP(E33,Employees!A:L,2,0)="","",VLOOKUP(E33,Employees!A:L,2,0)))</f>
        <v/>
      </c>
      <c r="G33" s="51" t="str">
        <f>IF(E33="","",VLOOKUP(F33,Employees!B:M,2,0))</f>
        <v/>
      </c>
      <c r="H33" s="52" t="str">
        <f>IFERROR(ROUNDUP(IF(E33="","",((VLOOKUP(E33,Employees!A:L,12,0)-5000)*66.6666/100)),0),"")</f>
        <v/>
      </c>
      <c r="I33" s="52" t="str">
        <f t="shared" si="0"/>
        <v/>
      </c>
      <c r="J33" s="52" t="str">
        <f t="shared" si="1"/>
        <v/>
      </c>
      <c r="K33" s="52" t="str">
        <f t="shared" si="2"/>
        <v/>
      </c>
      <c r="L33" s="52" t="str">
        <f t="shared" si="3"/>
        <v/>
      </c>
      <c r="M33" s="53" t="str">
        <f t="shared" si="4"/>
        <v/>
      </c>
      <c r="N33" s="52" t="str">
        <f t="shared" si="5"/>
        <v/>
      </c>
      <c r="O33" s="52" t="str" cm="1">
        <f t="array" ref="O33">IF(E33="","",_xlfn._xlws.FILTER(#REF!,(#REF!=E33)*(#REF!=$R$4)*(#REF!=$Q$8)))</f>
        <v/>
      </c>
      <c r="P33" s="52" t="str">
        <f>IF(E33="","",VLOOKUP(E33,Calculations!$E$21:$P$98,12,0))</f>
        <v/>
      </c>
      <c r="Q33" s="53" t="str">
        <f>IF(E33="","",IF(VLOOKUP(E33,Calculations!$E$22:$U$1048576,17,0)="YES",ROUNDUP((H33*8%),0),0))</f>
        <v/>
      </c>
      <c r="R33" s="52" t="str" cm="1">
        <f t="array" ref="R33">IF(E33="","",(N33/30)*(_xlfn._xlws.FILTER(#REF!,(#REF!=E33)*(#REF!=$R$4)*(#REF!=$Q$8))+_xlfn._xlws.FILTER(#REF!,(#REF!=E33)*(#REF!=$R$4)*(#REF!=$Q$8))))</f>
        <v/>
      </c>
      <c r="S33" s="52" t="str" cm="1">
        <f t="array" ref="S33">IF(E33="","",ROUNDUP((N33/30)*(_xlfn._xlws.FILTER(#REF!,(#REF!=E33)*(#REF!=$R$4)*(#REF!=$Q$8))),0))</f>
        <v/>
      </c>
      <c r="T33" s="52" t="str">
        <f t="shared" si="6"/>
        <v/>
      </c>
      <c r="U33" s="54" t="str">
        <f t="shared" si="7"/>
        <v/>
      </c>
    </row>
    <row r="34" spans="5:21" ht="15.75" thickBot="1" x14ac:dyDescent="0.3">
      <c r="E34" s="50"/>
      <c r="F34" s="51" t="str">
        <f>IF(E34="","",IF(VLOOKUP(E34,Employees!A:L,2,0)="","",VLOOKUP(E34,Employees!A:L,2,0)))</f>
        <v/>
      </c>
      <c r="G34" s="51" t="str">
        <f>IF(E34="","",VLOOKUP(F34,Employees!B:M,2,0))</f>
        <v/>
      </c>
      <c r="H34" s="52" t="str">
        <f>IFERROR(ROUNDUP(IF(E34="","",((VLOOKUP(E34,Employees!A:L,12,0)-5000)*66.6666/100)),0),"")</f>
        <v/>
      </c>
      <c r="I34" s="52" t="str">
        <f t="shared" si="0"/>
        <v/>
      </c>
      <c r="J34" s="52" t="str">
        <f t="shared" si="1"/>
        <v/>
      </c>
      <c r="K34" s="52" t="str">
        <f t="shared" si="2"/>
        <v/>
      </c>
      <c r="L34" s="52" t="str">
        <f t="shared" si="3"/>
        <v/>
      </c>
      <c r="M34" s="53" t="str">
        <f t="shared" si="4"/>
        <v/>
      </c>
      <c r="N34" s="52" t="str">
        <f t="shared" si="5"/>
        <v/>
      </c>
      <c r="O34" s="52" t="str" cm="1">
        <f t="array" ref="O34">IF(E34="","",_xlfn._xlws.FILTER(#REF!,(#REF!=E34)*(#REF!=$R$4)*(#REF!=$Q$8)))</f>
        <v/>
      </c>
      <c r="P34" s="52" t="str">
        <f>IF(E34="","",VLOOKUP(E34,Calculations!$E$21:$P$98,12,0))</f>
        <v/>
      </c>
      <c r="Q34" s="53" t="str">
        <f>IF(E34="","",IF(VLOOKUP(E34,Calculations!$E$22:$U$1048576,17,0)="YES",ROUNDUP((H34*8%),0),0))</f>
        <v/>
      </c>
      <c r="R34" s="52" t="str" cm="1">
        <f t="array" ref="R34">IF(E34="","",(N34/30)*(_xlfn._xlws.FILTER(#REF!,(#REF!=E34)*(#REF!=$R$4)*(#REF!=$Q$8))+_xlfn._xlws.FILTER(#REF!,(#REF!=E34)*(#REF!=$R$4)*(#REF!=$Q$8))))</f>
        <v/>
      </c>
      <c r="S34" s="52" t="str" cm="1">
        <f t="array" ref="S34">IF(E34="","",ROUNDUP((N34/30)*(_xlfn._xlws.FILTER(#REF!,(#REF!=E34)*(#REF!=$R$4)*(#REF!=$Q$8))),0))</f>
        <v/>
      </c>
      <c r="T34" s="52" t="str">
        <f t="shared" si="6"/>
        <v/>
      </c>
      <c r="U34" s="54" t="str">
        <f t="shared" si="7"/>
        <v/>
      </c>
    </row>
    <row r="35" spans="5:21" ht="15.75" thickBot="1" x14ac:dyDescent="0.3">
      <c r="E35" s="50"/>
      <c r="F35" s="51" t="str">
        <f>IF(E35="","",IF(VLOOKUP(E35,Employees!A:L,2,0)="","",VLOOKUP(E35,Employees!A:L,2,0)))</f>
        <v/>
      </c>
      <c r="G35" s="51" t="str">
        <f>IF(E35="","",VLOOKUP(F35,Employees!B:M,2,0))</f>
        <v/>
      </c>
      <c r="H35" s="52" t="str">
        <f>IFERROR(ROUNDUP(IF(E35="","",((VLOOKUP(E35,Employees!A:L,12,0)-5000)*66.6666/100)),0),"")</f>
        <v/>
      </c>
      <c r="I35" s="52" t="str">
        <f t="shared" si="0"/>
        <v/>
      </c>
      <c r="J35" s="52" t="str">
        <f t="shared" si="1"/>
        <v/>
      </c>
      <c r="K35" s="52" t="str">
        <f t="shared" si="2"/>
        <v/>
      </c>
      <c r="L35" s="52" t="str">
        <f t="shared" si="3"/>
        <v/>
      </c>
      <c r="M35" s="53" t="str">
        <f t="shared" si="4"/>
        <v/>
      </c>
      <c r="N35" s="52" t="str">
        <f t="shared" si="5"/>
        <v/>
      </c>
      <c r="O35" s="52" t="str" cm="1">
        <f t="array" ref="O35">IF(E35="","",_xlfn._xlws.FILTER(#REF!,(#REF!=E35)*(#REF!=$R$4)*(#REF!=$Q$8)))</f>
        <v/>
      </c>
      <c r="P35" s="52" t="str">
        <f>IF(E35="","",VLOOKUP(E35,Calculations!$E$21:$P$98,12,0))</f>
        <v/>
      </c>
      <c r="Q35" s="53" t="str">
        <f>IF(E35="","",IF(VLOOKUP(E35,Calculations!$E$22:$U$1048576,17,0)="YES",ROUNDUP((H35*8%),0),0))</f>
        <v/>
      </c>
      <c r="R35" s="52" t="str" cm="1">
        <f t="array" ref="R35">IF(E35="","",(N35/30)*(_xlfn._xlws.FILTER(#REF!,(#REF!=E35)*(#REF!=$R$4)*(#REF!=$Q$8))+_xlfn._xlws.FILTER(#REF!,(#REF!=E35)*(#REF!=$R$4)*(#REF!=$Q$8))))</f>
        <v/>
      </c>
      <c r="S35" s="52" t="str" cm="1">
        <f t="array" ref="S35">IF(E35="","",ROUNDUP((N35/30)*(_xlfn._xlws.FILTER(#REF!,(#REF!=E35)*(#REF!=$R$4)*(#REF!=$Q$8))),0))</f>
        <v/>
      </c>
      <c r="T35" s="52" t="str">
        <f t="shared" si="6"/>
        <v/>
      </c>
      <c r="U35" s="54" t="str">
        <f t="shared" si="7"/>
        <v/>
      </c>
    </row>
    <row r="36" spans="5:21" x14ac:dyDescent="0.25">
      <c r="E36" s="44"/>
      <c r="F36" s="44" t="str">
        <f>IF(E36="","",IF(VLOOKUP(E36,Employees!A:L,2,0)="","",VLOOKUP(E36,Employees!A:L,2,0)))</f>
        <v/>
      </c>
      <c r="G36" s="44" t="str">
        <f>IF(E36="","",VLOOKUP(F36,Employees!B:M,2,0))</f>
        <v/>
      </c>
      <c r="H36" s="44" t="str">
        <f>IFERROR(ROUNDUP(IF(E36="","",((VLOOKUP(E36,Employees!A:L,12,0)-5000)*66.6666/100)),0),"")</f>
        <v/>
      </c>
      <c r="I36" s="44" t="str">
        <f t="shared" si="0"/>
        <v/>
      </c>
      <c r="J36" s="44" t="str">
        <f t="shared" si="1"/>
        <v/>
      </c>
      <c r="K36" s="44" t="str">
        <f t="shared" si="2"/>
        <v/>
      </c>
      <c r="L36" s="44" t="str">
        <f t="shared" si="3"/>
        <v/>
      </c>
      <c r="M36" s="44" t="str">
        <f t="shared" si="4"/>
        <v/>
      </c>
      <c r="N36" s="44" t="str">
        <f t="shared" si="5"/>
        <v/>
      </c>
      <c r="O36" s="44" t="str" cm="1">
        <f t="array" ref="O36">IF(E36="","",_xlfn._xlws.FILTER(#REF!,(#REF!=E36)*(#REF!=$R$4)*(#REF!=$Q$8)))</f>
        <v/>
      </c>
      <c r="P36" s="44" t="str">
        <f>IF(E36="","",VLOOKUP(E36,Calculations!$E$21:$P$98,12,0))</f>
        <v/>
      </c>
      <c r="Q36" s="44" t="str">
        <f>IF(E36="","",IF(VLOOKUP(E36,Calculations!$E$22:$U$1048576,17,0)="YES",ROUNDUP((H36*8%),0),0))</f>
        <v/>
      </c>
      <c r="R36" s="44" t="str" cm="1">
        <f t="array" ref="R36">IF(E36="","",(N36/30)*(_xlfn._xlws.FILTER(#REF!,(#REF!=E36)*(#REF!=$R$4)*(#REF!=$Q$8))+_xlfn._xlws.FILTER(#REF!,(#REF!=E36)*(#REF!=$R$4)*(#REF!=$Q$8))))</f>
        <v/>
      </c>
      <c r="S36" s="44" t="str" cm="1">
        <f t="array" ref="S36">IF(E36="","",ROUNDUP((N36/30)*(_xlfn._xlws.FILTER(#REF!,(#REF!=E36)*(#REF!=$R$4)*(#REF!=$Q$8))),0))</f>
        <v/>
      </c>
      <c r="T36" s="44" t="str">
        <f t="shared" si="6"/>
        <v/>
      </c>
      <c r="U36" s="44" t="str">
        <f t="shared" si="7"/>
        <v/>
      </c>
    </row>
    <row r="37" spans="5:21" x14ac:dyDescent="0.25">
      <c r="E37" s="44"/>
      <c r="F37" s="44" t="str">
        <f>IF(E37="","",IF(VLOOKUP(E37,Employees!A:L,2,0)="","",VLOOKUP(E37,Employees!A:L,2,0)))</f>
        <v/>
      </c>
      <c r="G37" s="44" t="str">
        <f>IF(E37="","",VLOOKUP(F37,Employees!B:M,2,0))</f>
        <v/>
      </c>
      <c r="H37" s="44" t="str">
        <f>IFERROR(ROUNDUP(IF(E37="","",((VLOOKUP(E37,Employees!A:L,12,0)-5000)*66.6666/100)),0),"")</f>
        <v/>
      </c>
      <c r="I37" s="44" t="str">
        <f t="shared" si="0"/>
        <v/>
      </c>
      <c r="J37" s="44" t="str">
        <f t="shared" si="1"/>
        <v/>
      </c>
      <c r="K37" s="44" t="str">
        <f t="shared" si="2"/>
        <v/>
      </c>
      <c r="L37" s="44" t="str">
        <f t="shared" si="3"/>
        <v/>
      </c>
      <c r="M37" s="44" t="str">
        <f t="shared" si="4"/>
        <v/>
      </c>
      <c r="N37" s="44" t="str">
        <f t="shared" si="5"/>
        <v/>
      </c>
      <c r="O37" s="44" t="str" cm="1">
        <f t="array" ref="O37">IF(E37="","",_xlfn._xlws.FILTER(#REF!,(#REF!=E37)*(#REF!=$R$4)*(#REF!=$Q$8)))</f>
        <v/>
      </c>
      <c r="P37" s="44" t="str">
        <f>IF(E37="","",VLOOKUP(E37,Calculations!$E$21:$P$98,12,0))</f>
        <v/>
      </c>
      <c r="Q37" s="44" t="str">
        <f>IF(E37="","",IF(VLOOKUP(E37,Calculations!$E$22:$U$1048576,17,0)="YES",ROUNDUP((H37*8%),0),0))</f>
        <v/>
      </c>
      <c r="R37" s="44" t="str" cm="1">
        <f t="array" ref="R37">IF(E37="","",(N37/30)*(_xlfn._xlws.FILTER(#REF!,(#REF!=E37)*(#REF!=$R$4)*(#REF!=$Q$8))+_xlfn._xlws.FILTER(#REF!,(#REF!=E37)*(#REF!=$R$4)*(#REF!=$Q$8))))</f>
        <v/>
      </c>
      <c r="S37" s="44" t="str" cm="1">
        <f t="array" ref="S37">IF(E37="","",ROUNDUP((N37/30)*(_xlfn._xlws.FILTER(#REF!,(#REF!=E37)*(#REF!=$R$4)*(#REF!=$Q$8))),0))</f>
        <v/>
      </c>
      <c r="T37" s="44" t="str">
        <f t="shared" si="6"/>
        <v/>
      </c>
      <c r="U37" s="44" t="str">
        <f t="shared" si="7"/>
        <v/>
      </c>
    </row>
    <row r="38" spans="5:21" x14ac:dyDescent="0.25">
      <c r="E38" s="44"/>
      <c r="F38" s="44" t="str">
        <f>IF(E38="","",IF(VLOOKUP(E38,Employees!A:L,2,0)="","",VLOOKUP(E38,Employees!A:L,2,0)))</f>
        <v/>
      </c>
      <c r="G38" s="44" t="str">
        <f>IF(E38="","",VLOOKUP(F38,Employees!B:M,2,0))</f>
        <v/>
      </c>
      <c r="H38" s="44" t="str">
        <f>IFERROR(ROUNDUP(IF(E38="","",((VLOOKUP(E38,Employees!A:L,12,0)-5000)*66.6666/100)),0),"")</f>
        <v/>
      </c>
      <c r="I38" s="44" t="str">
        <f t="shared" si="0"/>
        <v/>
      </c>
      <c r="J38" s="44" t="str">
        <f t="shared" si="1"/>
        <v/>
      </c>
      <c r="K38" s="44" t="str">
        <f t="shared" si="2"/>
        <v/>
      </c>
      <c r="L38" s="44" t="str">
        <f t="shared" si="3"/>
        <v/>
      </c>
      <c r="M38" s="44" t="str">
        <f t="shared" si="4"/>
        <v/>
      </c>
      <c r="N38" s="44" t="str">
        <f t="shared" si="5"/>
        <v/>
      </c>
      <c r="O38" s="44" t="str" cm="1">
        <f t="array" ref="O38">IF(E38="","",_xlfn._xlws.FILTER(#REF!,(#REF!=E38)*(#REF!=$R$4)*(#REF!=$Q$8)))</f>
        <v/>
      </c>
      <c r="P38" s="44" t="str">
        <f>IF(E38="","",VLOOKUP(E38,Calculations!$E$21:$P$98,12,0))</f>
        <v/>
      </c>
      <c r="Q38" s="44" t="str">
        <f>IF(E38="","",IF(VLOOKUP(E38,Calculations!$E$22:$U$1048576,17,0)="YES",ROUNDUP((H38*8%),0),0))</f>
        <v/>
      </c>
      <c r="R38" s="44" t="str" cm="1">
        <f t="array" ref="R38">IF(E38="","",(N38/30)*(_xlfn._xlws.FILTER(#REF!,(#REF!=E38)*(#REF!=$R$4)*(#REF!=$Q$8))+_xlfn._xlws.FILTER(#REF!,(#REF!=E38)*(#REF!=$R$4)*(#REF!=$Q$8))))</f>
        <v/>
      </c>
      <c r="S38" s="44" t="str" cm="1">
        <f t="array" ref="S38">IF(E38="","",ROUNDUP((N38/30)*(_xlfn._xlws.FILTER(#REF!,(#REF!=E38)*(#REF!=$R$4)*(#REF!=$Q$8))),0))</f>
        <v/>
      </c>
      <c r="T38" s="44" t="str">
        <f t="shared" si="6"/>
        <v/>
      </c>
      <c r="U38" s="44" t="str">
        <f t="shared" si="7"/>
        <v/>
      </c>
    </row>
    <row r="39" spans="5:21" x14ac:dyDescent="0.25">
      <c r="E39" s="44"/>
      <c r="F39" s="44" t="str">
        <f>IF(E39="","",IF(VLOOKUP(E39,Employees!A:L,2,0)="","",VLOOKUP(E39,Employees!A:L,2,0)))</f>
        <v/>
      </c>
      <c r="G39" s="44" t="str">
        <f>IF(E39="","",VLOOKUP(F39,Employees!B:M,2,0))</f>
        <v/>
      </c>
      <c r="H39" s="44" t="str">
        <f>IFERROR(ROUNDUP(IF(E39="","",((VLOOKUP(E39,Employees!A:L,12,0)-5000)*66.6666/100)),0),"")</f>
        <v/>
      </c>
      <c r="I39" s="44" t="str">
        <f t="shared" si="0"/>
        <v/>
      </c>
      <c r="J39" s="44" t="str">
        <f t="shared" si="1"/>
        <v/>
      </c>
      <c r="K39" s="44" t="str">
        <f t="shared" si="2"/>
        <v/>
      </c>
      <c r="L39" s="44" t="str">
        <f t="shared" si="3"/>
        <v/>
      </c>
      <c r="M39" s="44" t="str">
        <f t="shared" si="4"/>
        <v/>
      </c>
      <c r="N39" s="44" t="str">
        <f t="shared" si="5"/>
        <v/>
      </c>
      <c r="O39" s="44" t="str" cm="1">
        <f t="array" ref="O39">IF(E39="","",_xlfn._xlws.FILTER(#REF!,(#REF!=E39)*(#REF!=$R$4)*(#REF!=$Q$8)))</f>
        <v/>
      </c>
      <c r="P39" s="44" t="str">
        <f>IF(E39="","",VLOOKUP(E39,Calculations!$E$21:$P$98,12,0))</f>
        <v/>
      </c>
      <c r="Q39" s="44" t="str">
        <f>IF(E39="","",IF(VLOOKUP(E39,Calculations!$E$22:$U$1048576,17,0)="YES",ROUNDUP((H39*8%),0),0))</f>
        <v/>
      </c>
      <c r="R39" s="44" t="str" cm="1">
        <f t="array" ref="R39">IF(E39="","",(N39/30)*(_xlfn._xlws.FILTER(#REF!,(#REF!=E39)*(#REF!=$R$4)*(#REF!=$Q$8))+_xlfn._xlws.FILTER(#REF!,(#REF!=E39)*(#REF!=$R$4)*(#REF!=$Q$8))))</f>
        <v/>
      </c>
      <c r="S39" s="44" t="str" cm="1">
        <f t="array" ref="S39">IF(E39="","",ROUNDUP((N39/30)*(_xlfn._xlws.FILTER(#REF!,(#REF!=E39)*(#REF!=$R$4)*(#REF!=$Q$8))),0))</f>
        <v/>
      </c>
      <c r="T39" s="44" t="str">
        <f t="shared" si="6"/>
        <v/>
      </c>
      <c r="U39" s="44" t="str">
        <f t="shared" si="7"/>
        <v/>
      </c>
    </row>
    <row r="40" spans="5:21" x14ac:dyDescent="0.25">
      <c r="E40" s="44"/>
      <c r="F40" s="44" t="str">
        <f>IF(E40="","",IF(VLOOKUP(E40,Employees!A:L,2,0)="","",VLOOKUP(E40,Employees!A:L,2,0)))</f>
        <v/>
      </c>
      <c r="G40" s="44" t="str">
        <f>IF(E40="","",VLOOKUP(F40,Employees!B:M,2,0))</f>
        <v/>
      </c>
      <c r="H40" s="44" t="str">
        <f>IFERROR(ROUNDUP(IF(E40="","",((VLOOKUP(E40,Employees!A:L,12,0)-5000)*66.6666/100)),0),"")</f>
        <v/>
      </c>
      <c r="I40" s="44" t="str">
        <f t="shared" si="0"/>
        <v/>
      </c>
      <c r="J40" s="44" t="str">
        <f t="shared" si="1"/>
        <v/>
      </c>
      <c r="K40" s="44" t="str">
        <f t="shared" si="2"/>
        <v/>
      </c>
      <c r="L40" s="44" t="str">
        <f t="shared" si="3"/>
        <v/>
      </c>
      <c r="M40" s="44" t="str">
        <f t="shared" si="4"/>
        <v/>
      </c>
      <c r="N40" s="44" t="str">
        <f t="shared" si="5"/>
        <v/>
      </c>
      <c r="O40" s="44" t="str" cm="1">
        <f t="array" ref="O40">IF(E40="","",_xlfn._xlws.FILTER(#REF!,(#REF!=E40)*(#REF!=$R$4)*(#REF!=$Q$8)))</f>
        <v/>
      </c>
      <c r="P40" s="44" t="str">
        <f>IF(E40="","",VLOOKUP(E40,Calculations!$E$21:$P$98,12,0))</f>
        <v/>
      </c>
      <c r="Q40" s="44" t="str">
        <f>IF(E40="","",IF(VLOOKUP(E40,Calculations!$E$22:$U$1048576,17,0)="YES",ROUNDUP((H40*8%),0),0))</f>
        <v/>
      </c>
      <c r="R40" s="44" t="str" cm="1">
        <f t="array" ref="R40">IF(E40="","",(N40/30)*(_xlfn._xlws.FILTER(#REF!,(#REF!=E40)*(#REF!=$R$4)*(#REF!=$Q$8))+_xlfn._xlws.FILTER(#REF!,(#REF!=E40)*(#REF!=$R$4)*(#REF!=$Q$8))))</f>
        <v/>
      </c>
      <c r="S40" s="44" t="str" cm="1">
        <f t="array" ref="S40">IF(E40="","",ROUNDUP((N40/30)*(_xlfn._xlws.FILTER(#REF!,(#REF!=E40)*(#REF!=$R$4)*(#REF!=$Q$8))),0))</f>
        <v/>
      </c>
      <c r="T40" s="44" t="str">
        <f t="shared" si="6"/>
        <v/>
      </c>
      <c r="U40" s="44" t="str">
        <f t="shared" si="7"/>
        <v/>
      </c>
    </row>
    <row r="41" spans="5:21" x14ac:dyDescent="0.25">
      <c r="E41" s="44"/>
      <c r="F41" s="44" t="str">
        <f>IF(E41="","",IF(VLOOKUP(E41,Employees!A:L,2,0)="","",VLOOKUP(E41,Employees!A:L,2,0)))</f>
        <v/>
      </c>
      <c r="G41" s="44" t="str">
        <f>IF(E41="","",VLOOKUP(F41,Employees!B:M,2,0))</f>
        <v/>
      </c>
      <c r="H41" s="44" t="str">
        <f>IFERROR(ROUNDUP(IF(E41="","",((VLOOKUP(E41,Employees!A:L,12,0)-5000)*66.6666/100)),0),"")</f>
        <v/>
      </c>
      <c r="I41" s="44" t="str">
        <f t="shared" si="0"/>
        <v/>
      </c>
      <c r="J41" s="44" t="str">
        <f t="shared" si="1"/>
        <v/>
      </c>
      <c r="K41" s="44" t="str">
        <f t="shared" si="2"/>
        <v/>
      </c>
      <c r="L41" s="44" t="str">
        <f t="shared" si="3"/>
        <v/>
      </c>
      <c r="M41" s="44" t="str">
        <f t="shared" si="4"/>
        <v/>
      </c>
      <c r="N41" s="44" t="str">
        <f t="shared" si="5"/>
        <v/>
      </c>
      <c r="O41" s="44" t="str" cm="1">
        <f t="array" ref="O41">IF(E41="","",_xlfn._xlws.FILTER(#REF!,(#REF!=E41)*(#REF!=$R$4)*(#REF!=$Q$8)))</f>
        <v/>
      </c>
      <c r="P41" s="44" t="str">
        <f>IF(E41="","",VLOOKUP(E41,Calculations!$E$21:$P$98,12,0))</f>
        <v/>
      </c>
      <c r="Q41" s="44" t="str">
        <f>IF(E41="","",IF(VLOOKUP(E41,Calculations!$E$22:$U$1048576,17,0)="YES",ROUNDUP((H41*8%),0),0))</f>
        <v/>
      </c>
      <c r="R41" s="44" t="str" cm="1">
        <f t="array" ref="R41">IF(E41="","",(N41/30)*(_xlfn._xlws.FILTER(#REF!,(#REF!=E41)*(#REF!=$R$4)*(#REF!=$Q$8))+_xlfn._xlws.FILTER(#REF!,(#REF!=E41)*(#REF!=$R$4)*(#REF!=$Q$8))))</f>
        <v/>
      </c>
      <c r="S41" s="44" t="str" cm="1">
        <f t="array" ref="S41">IF(E41="","",ROUNDUP((N41/30)*(_xlfn._xlws.FILTER(#REF!,(#REF!=E41)*(#REF!=$R$4)*(#REF!=$Q$8))),0))</f>
        <v/>
      </c>
      <c r="T41" s="44" t="str">
        <f t="shared" si="6"/>
        <v/>
      </c>
      <c r="U41" s="44" t="str">
        <f t="shared" si="7"/>
        <v/>
      </c>
    </row>
    <row r="42" spans="5:21" x14ac:dyDescent="0.25">
      <c r="E42" s="44"/>
      <c r="F42" s="44" t="str">
        <f>IF(E42="","",IF(VLOOKUP(E42,Employees!A:L,2,0)="","",VLOOKUP(E42,Employees!A:L,2,0)))</f>
        <v/>
      </c>
      <c r="G42" s="44" t="str">
        <f>IF(E42="","",VLOOKUP(F42,Employees!B:M,2,0))</f>
        <v/>
      </c>
      <c r="H42" s="44" t="str">
        <f>IFERROR(ROUNDUP(IF(E42="","",((VLOOKUP(E42,Employees!A:L,12,0)-5000)*66.6666/100)),0),"")</f>
        <v/>
      </c>
      <c r="I42" s="44" t="str">
        <f t="shared" si="0"/>
        <v/>
      </c>
      <c r="J42" s="44" t="str">
        <f t="shared" si="1"/>
        <v/>
      </c>
      <c r="K42" s="44" t="str">
        <f t="shared" si="2"/>
        <v/>
      </c>
      <c r="L42" s="44" t="str">
        <f t="shared" si="3"/>
        <v/>
      </c>
      <c r="M42" s="44" t="str">
        <f t="shared" si="4"/>
        <v/>
      </c>
      <c r="N42" s="44" t="str">
        <f t="shared" si="5"/>
        <v/>
      </c>
      <c r="O42" s="44" t="str" cm="1">
        <f t="array" ref="O42">IF(E42="","",_xlfn._xlws.FILTER(#REF!,(#REF!=E42)*(#REF!=$R$4)*(#REF!=$Q$8)))</f>
        <v/>
      </c>
      <c r="P42" s="44" t="str">
        <f>IF(E42="","",VLOOKUP(E42,Calculations!$E$21:$P$98,12,0))</f>
        <v/>
      </c>
      <c r="Q42" s="44" t="str">
        <f>IF(E42="","",IF(VLOOKUP(E42,Calculations!$E$22:$U$1048576,17,0)="YES",ROUNDUP((H42*8%),0),0))</f>
        <v/>
      </c>
      <c r="R42" s="44" t="str" cm="1">
        <f t="array" ref="R42">IF(E42="","",(N42/30)*(_xlfn._xlws.FILTER(#REF!,(#REF!=E42)*(#REF!=$R$4)*(#REF!=$Q$8))+_xlfn._xlws.FILTER(#REF!,(#REF!=E42)*(#REF!=$R$4)*(#REF!=$Q$8))))</f>
        <v/>
      </c>
      <c r="S42" s="44" t="str" cm="1">
        <f t="array" ref="S42">IF(E42="","",ROUNDUP((N42/30)*(_xlfn._xlws.FILTER(#REF!,(#REF!=E42)*(#REF!=$R$4)*(#REF!=$Q$8))),0))</f>
        <v/>
      </c>
      <c r="T42" s="44" t="str">
        <f t="shared" si="6"/>
        <v/>
      </c>
      <c r="U42" s="44" t="str">
        <f t="shared" si="7"/>
        <v/>
      </c>
    </row>
    <row r="43" spans="5:21" x14ac:dyDescent="0.25">
      <c r="E43" s="44"/>
      <c r="F43" s="44" t="str">
        <f>IF(E43="","",IF(VLOOKUP(E43,Employees!A:L,2,0)="","",VLOOKUP(E43,Employees!A:L,2,0)))</f>
        <v/>
      </c>
      <c r="G43" s="44" t="str">
        <f>IF(E43="","",VLOOKUP(F43,Employees!B:M,2,0))</f>
        <v/>
      </c>
      <c r="H43" s="44" t="str">
        <f>IFERROR(ROUNDUP(IF(E43="","",((VLOOKUP(E43,Employees!A:L,12,0)-5000)*66.6666/100)),0),"")</f>
        <v/>
      </c>
      <c r="I43" s="44" t="str">
        <f t="shared" si="0"/>
        <v/>
      </c>
      <c r="J43" s="44" t="str">
        <f t="shared" si="1"/>
        <v/>
      </c>
      <c r="K43" s="44" t="str">
        <f t="shared" si="2"/>
        <v/>
      </c>
      <c r="L43" s="44" t="str">
        <f t="shared" si="3"/>
        <v/>
      </c>
      <c r="M43" s="44" t="str">
        <f t="shared" si="4"/>
        <v/>
      </c>
      <c r="N43" s="44" t="str">
        <f t="shared" si="5"/>
        <v/>
      </c>
      <c r="O43" s="44" t="str" cm="1">
        <f t="array" ref="O43">IF(E43="","",_xlfn._xlws.FILTER(#REF!,(#REF!=E43)*(#REF!=$R$4)*(#REF!=$Q$8)))</f>
        <v/>
      </c>
      <c r="P43" s="44" t="str">
        <f>IF(E43="","",VLOOKUP(E43,Calculations!$E$21:$P$98,12,0))</f>
        <v/>
      </c>
      <c r="Q43" s="44" t="str">
        <f>IF(E43="","",IF(VLOOKUP(E43,Calculations!$E$22:$U$1048576,17,0)="YES",ROUNDUP((H43*8%),0),0))</f>
        <v/>
      </c>
      <c r="R43" s="44" t="str" cm="1">
        <f t="array" ref="R43">IF(E43="","",(N43/30)*(_xlfn._xlws.FILTER(#REF!,(#REF!=E43)*(#REF!=$R$4)*(#REF!=$Q$8))+_xlfn._xlws.FILTER(#REF!,(#REF!=E43)*(#REF!=$R$4)*(#REF!=$Q$8))))</f>
        <v/>
      </c>
      <c r="S43" s="44" t="str" cm="1">
        <f t="array" ref="S43">IF(E43="","",ROUNDUP((N43/30)*(_xlfn._xlws.FILTER(#REF!,(#REF!=E43)*(#REF!=$R$4)*(#REF!=$Q$8))),0))</f>
        <v/>
      </c>
      <c r="T43" s="44" t="str">
        <f t="shared" si="6"/>
        <v/>
      </c>
      <c r="U43" s="44" t="str">
        <f t="shared" si="7"/>
        <v/>
      </c>
    </row>
    <row r="44" spans="5:21" x14ac:dyDescent="0.25">
      <c r="E44" s="44"/>
      <c r="F44" s="44" t="str">
        <f>IF(E44="","",IF(VLOOKUP(E44,Employees!A:L,2,0)="","",VLOOKUP(E44,Employees!A:L,2,0)))</f>
        <v/>
      </c>
      <c r="G44" s="44" t="str">
        <f>IF(E44="","",VLOOKUP(F44,Employees!B:M,2,0))</f>
        <v/>
      </c>
      <c r="H44" s="44" t="str">
        <f>IFERROR(ROUNDUP(IF(E44="","",((VLOOKUP(E44,Employees!A:L,12,0)-5000)*66.6666/100)),0),"")</f>
        <v/>
      </c>
      <c r="I44" s="44" t="str">
        <f t="shared" si="0"/>
        <v/>
      </c>
      <c r="J44" s="44" t="str">
        <f t="shared" si="1"/>
        <v/>
      </c>
      <c r="K44" s="44" t="str">
        <f t="shared" si="2"/>
        <v/>
      </c>
      <c r="L44" s="44" t="str">
        <f t="shared" si="3"/>
        <v/>
      </c>
      <c r="M44" s="44" t="str">
        <f t="shared" si="4"/>
        <v/>
      </c>
      <c r="N44" s="44" t="str">
        <f t="shared" si="5"/>
        <v/>
      </c>
      <c r="O44" s="44" t="str" cm="1">
        <f t="array" ref="O44">IF(E44="","",_xlfn._xlws.FILTER(#REF!,(#REF!=E44)*(#REF!=$R$4)*(#REF!=$Q$8)))</f>
        <v/>
      </c>
      <c r="P44" s="44" t="str">
        <f>IF(E44="","",VLOOKUP(E44,Calculations!$E$21:$P$98,12,0))</f>
        <v/>
      </c>
      <c r="Q44" s="44" t="str">
        <f>IF(E44="","",IF(VLOOKUP(E44,Calculations!$E$22:$U$1048576,17,0)="YES",ROUNDUP((H44*8%),0),0))</f>
        <v/>
      </c>
      <c r="R44" s="44" t="str" cm="1">
        <f t="array" ref="R44">IF(E44="","",(N44/30)*(_xlfn._xlws.FILTER(#REF!,(#REF!=E44)*(#REF!=$R$4)*(#REF!=$Q$8))+_xlfn._xlws.FILTER(#REF!,(#REF!=E44)*(#REF!=$R$4)*(#REF!=$Q$8))))</f>
        <v/>
      </c>
      <c r="S44" s="44" t="str" cm="1">
        <f t="array" ref="S44">IF(E44="","",ROUNDUP((N44/30)*(_xlfn._xlws.FILTER(#REF!,(#REF!=E44)*(#REF!=$R$4)*(#REF!=$Q$8))),0))</f>
        <v/>
      </c>
      <c r="T44" s="44" t="str">
        <f t="shared" si="6"/>
        <v/>
      </c>
      <c r="U44" s="44" t="str">
        <f t="shared" si="7"/>
        <v/>
      </c>
    </row>
    <row r="45" spans="5:21" x14ac:dyDescent="0.25">
      <c r="E45" s="44"/>
      <c r="F45" s="44" t="str">
        <f>IF(E45="","",IF(VLOOKUP(E45,Employees!A:L,2,0)="","",VLOOKUP(E45,Employees!A:L,2,0)))</f>
        <v/>
      </c>
      <c r="G45" s="44" t="str">
        <f>IF(E45="","",VLOOKUP(F45,Employees!B:M,2,0))</f>
        <v/>
      </c>
      <c r="H45" s="44" t="str">
        <f>IFERROR(ROUNDUP(IF(E45="","",((VLOOKUP(E45,Employees!A:L,12,0)-5000)*66.6666/100)),0),"")</f>
        <v/>
      </c>
      <c r="I45" s="44" t="str">
        <f t="shared" si="0"/>
        <v/>
      </c>
      <c r="J45" s="44" t="str">
        <f t="shared" si="1"/>
        <v/>
      </c>
      <c r="K45" s="44" t="str">
        <f t="shared" si="2"/>
        <v/>
      </c>
      <c r="L45" s="44" t="str">
        <f t="shared" si="3"/>
        <v/>
      </c>
      <c r="M45" s="44" t="str">
        <f t="shared" si="4"/>
        <v/>
      </c>
      <c r="N45" s="44" t="str">
        <f t="shared" si="5"/>
        <v/>
      </c>
      <c r="O45" s="44" t="str" cm="1">
        <f t="array" ref="O45">IF(E45="","",_xlfn._xlws.FILTER(#REF!,(#REF!=E45)*(#REF!=$R$4)*(#REF!=$Q$8)))</f>
        <v/>
      </c>
      <c r="P45" s="44" t="str">
        <f>IF(E45="","",VLOOKUP(E45,Calculations!$E$21:$P$98,12,0))</f>
        <v/>
      </c>
      <c r="Q45" s="44" t="str">
        <f>IF(E45="","",IF(VLOOKUP(E45,Calculations!$E$22:$U$1048576,17,0)="YES",ROUNDUP((H45*8%),0),0))</f>
        <v/>
      </c>
      <c r="R45" s="44" t="str" cm="1">
        <f t="array" ref="R45">IF(E45="","",(N45/30)*(_xlfn._xlws.FILTER(#REF!,(#REF!=E45)*(#REF!=$R$4)*(#REF!=$Q$8))+_xlfn._xlws.FILTER(#REF!,(#REF!=E45)*(#REF!=$R$4)*(#REF!=$Q$8))))</f>
        <v/>
      </c>
      <c r="S45" s="44" t="str" cm="1">
        <f t="array" ref="S45">IF(E45="","",ROUNDUP((N45/30)*(_xlfn._xlws.FILTER(#REF!,(#REF!=E45)*(#REF!=$R$4)*(#REF!=$Q$8))),0))</f>
        <v/>
      </c>
      <c r="T45" s="44" t="str">
        <f t="shared" si="6"/>
        <v/>
      </c>
      <c r="U45" s="44" t="str">
        <f t="shared" si="7"/>
        <v/>
      </c>
    </row>
    <row r="46" spans="5:21" x14ac:dyDescent="0.25">
      <c r="E46" s="44"/>
      <c r="F46" s="44" t="str">
        <f>IF(E46="","",IF(VLOOKUP(E46,Employees!A:L,2,0)="","",VLOOKUP(E46,Employees!A:L,2,0)))</f>
        <v/>
      </c>
      <c r="G46" s="44" t="str">
        <f>IF(E46="","",VLOOKUP(F46,Employees!B:M,2,0))</f>
        <v/>
      </c>
      <c r="H46" s="44" t="str">
        <f>IFERROR(ROUNDUP(IF(E46="","",((VLOOKUP(E46,Employees!A:L,12,0)-5000)*66.6666/100)),0),"")</f>
        <v/>
      </c>
      <c r="I46" s="44" t="str">
        <f t="shared" si="0"/>
        <v/>
      </c>
      <c r="J46" s="44" t="str">
        <f t="shared" si="1"/>
        <v/>
      </c>
      <c r="K46" s="44" t="str">
        <f t="shared" si="2"/>
        <v/>
      </c>
      <c r="L46" s="44" t="str">
        <f t="shared" si="3"/>
        <v/>
      </c>
      <c r="M46" s="44" t="str">
        <f t="shared" si="4"/>
        <v/>
      </c>
      <c r="N46" s="44" t="str">
        <f t="shared" si="5"/>
        <v/>
      </c>
      <c r="O46" s="44" t="str" cm="1">
        <f t="array" ref="O46">IF(E46="","",_xlfn._xlws.FILTER(#REF!,(#REF!=E46)*(#REF!=$R$4)*(#REF!=$Q$8)))</f>
        <v/>
      </c>
      <c r="P46" s="44" t="str">
        <f>IF(E46="","",VLOOKUP(E46,Calculations!$E$21:$P$98,12,0))</f>
        <v/>
      </c>
      <c r="Q46" s="44" t="str">
        <f>IF(E46="","",IF(VLOOKUP(E46,Calculations!$E$22:$U$1048576,17,0)="YES",ROUNDUP((H46*8%),0),0))</f>
        <v/>
      </c>
      <c r="R46" s="44" t="str" cm="1">
        <f t="array" ref="R46">IF(E46="","",(N46/30)*(_xlfn._xlws.FILTER(#REF!,(#REF!=E46)*(#REF!=$R$4)*(#REF!=$Q$8))+_xlfn._xlws.FILTER(#REF!,(#REF!=E46)*(#REF!=$R$4)*(#REF!=$Q$8))))</f>
        <v/>
      </c>
      <c r="S46" s="44" t="str" cm="1">
        <f t="array" ref="S46">IF(E46="","",ROUNDUP((N46/30)*(_xlfn._xlws.FILTER(#REF!,(#REF!=E46)*(#REF!=$R$4)*(#REF!=$Q$8))),0))</f>
        <v/>
      </c>
      <c r="T46" s="44" t="str">
        <f t="shared" si="6"/>
        <v/>
      </c>
      <c r="U46" s="44" t="str">
        <f t="shared" si="7"/>
        <v/>
      </c>
    </row>
    <row r="47" spans="5:21" x14ac:dyDescent="0.25">
      <c r="E47" s="44"/>
      <c r="F47" s="44" t="str">
        <f>IF(E47="","",IF(VLOOKUP(E47,Employees!A:L,2,0)="","",VLOOKUP(E47,Employees!A:L,2,0)))</f>
        <v/>
      </c>
      <c r="G47" s="44" t="str">
        <f>IF(E47="","",VLOOKUP(F47,Employees!B:M,2,0))</f>
        <v/>
      </c>
      <c r="H47" s="44" t="str">
        <f>IFERROR(ROUNDUP(IF(E47="","",((VLOOKUP(E47,Employees!A:L,12,0)-5000)*66.6666/100)),0),"")</f>
        <v/>
      </c>
      <c r="I47" s="44" t="str">
        <f t="shared" si="0"/>
        <v/>
      </c>
      <c r="J47" s="44" t="str">
        <f t="shared" si="1"/>
        <v/>
      </c>
      <c r="K47" s="44" t="str">
        <f t="shared" si="2"/>
        <v/>
      </c>
      <c r="L47" s="44" t="str">
        <f t="shared" si="3"/>
        <v/>
      </c>
      <c r="M47" s="44" t="str">
        <f t="shared" si="4"/>
        <v/>
      </c>
      <c r="N47" s="44" t="str">
        <f t="shared" si="5"/>
        <v/>
      </c>
      <c r="O47" s="44" t="str" cm="1">
        <f t="array" ref="O47">IF(E47="","",_xlfn._xlws.FILTER(#REF!,(#REF!=E47)*(#REF!=$R$4)*(#REF!=$Q$8)))</f>
        <v/>
      </c>
      <c r="P47" s="44" t="str">
        <f>IF(E47="","",VLOOKUP(E47,Calculations!$E$21:$P$98,12,0))</f>
        <v/>
      </c>
      <c r="Q47" s="44" t="str">
        <f>IF(E47="","",IF(VLOOKUP(E47,Calculations!$E$22:$U$1048576,17,0)="YES",ROUNDUP((H47*8%),0),0))</f>
        <v/>
      </c>
      <c r="R47" s="44" t="str" cm="1">
        <f t="array" ref="R47">IF(E47="","",(N47/30)*(_xlfn._xlws.FILTER(#REF!,(#REF!=E47)*(#REF!=$R$4)*(#REF!=$Q$8))+_xlfn._xlws.FILTER(#REF!,(#REF!=E47)*(#REF!=$R$4)*(#REF!=$Q$8))))</f>
        <v/>
      </c>
      <c r="S47" s="44" t="str" cm="1">
        <f t="array" ref="S47">IF(E47="","",ROUNDUP((N47/30)*(_xlfn._xlws.FILTER(#REF!,(#REF!=E47)*(#REF!=$R$4)*(#REF!=$Q$8))),0))</f>
        <v/>
      </c>
      <c r="T47" s="44" t="str">
        <f t="shared" si="6"/>
        <v/>
      </c>
      <c r="U47" s="44" t="str">
        <f t="shared" si="7"/>
        <v/>
      </c>
    </row>
    <row r="48" spans="5:21" x14ac:dyDescent="0.25">
      <c r="E48" s="44"/>
      <c r="F48" s="44" t="str">
        <f>IF(E48="","",IF(VLOOKUP(E48,Employees!A:L,2,0)="","",VLOOKUP(E48,Employees!A:L,2,0)))</f>
        <v/>
      </c>
      <c r="G48" s="44" t="str">
        <f>IF(E48="","",VLOOKUP(F48,Employees!B:M,2,0))</f>
        <v/>
      </c>
      <c r="H48" s="44" t="str">
        <f>IFERROR(ROUNDUP(IF(E48="","",((VLOOKUP(E48,Employees!A:L,12,0)-5000)*66.6666/100)),0),"")</f>
        <v/>
      </c>
      <c r="I48" s="44" t="str">
        <f t="shared" si="0"/>
        <v/>
      </c>
      <c r="J48" s="44" t="str">
        <f t="shared" si="1"/>
        <v/>
      </c>
      <c r="K48" s="44" t="str">
        <f t="shared" si="2"/>
        <v/>
      </c>
      <c r="L48" s="44" t="str">
        <f t="shared" si="3"/>
        <v/>
      </c>
      <c r="M48" s="44" t="str">
        <f t="shared" si="4"/>
        <v/>
      </c>
      <c r="N48" s="44" t="str">
        <f t="shared" si="5"/>
        <v/>
      </c>
      <c r="O48" s="44" t="str" cm="1">
        <f t="array" ref="O48">IF(E48="","",_xlfn._xlws.FILTER(#REF!,(#REF!=E48)*(#REF!=$R$4)*(#REF!=$Q$8)))</f>
        <v/>
      </c>
      <c r="P48" s="44" t="str">
        <f>IF(E48="","",VLOOKUP(E48,Calculations!$E$21:$P$98,12,0))</f>
        <v/>
      </c>
      <c r="Q48" s="44" t="str">
        <f>IF(E48="","",IF(VLOOKUP(E48,Calculations!$E$22:$U$1048576,17,0)="YES",ROUNDUP((H48*8%),0),0))</f>
        <v/>
      </c>
      <c r="R48" s="44" t="str" cm="1">
        <f t="array" ref="R48">IF(E48="","",(N48/30)*(_xlfn._xlws.FILTER(#REF!,(#REF!=E48)*(#REF!=$R$4)*(#REF!=$Q$8))+_xlfn._xlws.FILTER(#REF!,(#REF!=E48)*(#REF!=$R$4)*(#REF!=$Q$8))))</f>
        <v/>
      </c>
      <c r="S48" s="44" t="str" cm="1">
        <f t="array" ref="S48">IF(E48="","",ROUNDUP((N48/30)*(_xlfn._xlws.FILTER(#REF!,(#REF!=E48)*(#REF!=$R$4)*(#REF!=$Q$8))),0))</f>
        <v/>
      </c>
      <c r="T48" s="44" t="str">
        <f t="shared" si="6"/>
        <v/>
      </c>
      <c r="U48" s="44" t="str">
        <f t="shared" si="7"/>
        <v/>
      </c>
    </row>
    <row r="49" spans="5:21" x14ac:dyDescent="0.25">
      <c r="E49" s="44"/>
      <c r="F49" s="44" t="str">
        <f>IF(E49="","",IF(VLOOKUP(E49,Employees!A:L,2,0)="","",VLOOKUP(E49,Employees!A:L,2,0)))</f>
        <v/>
      </c>
      <c r="G49" s="44" t="str">
        <f>IF(E49="","",VLOOKUP(F49,Employees!B:M,2,0))</f>
        <v/>
      </c>
      <c r="H49" s="44" t="str">
        <f>IFERROR(ROUNDUP(IF(E49="","",((VLOOKUP(E49,Employees!A:L,12,0)-5000)*66.6666/100)),0),"")</f>
        <v/>
      </c>
      <c r="I49" s="44" t="str">
        <f t="shared" si="0"/>
        <v/>
      </c>
      <c r="J49" s="44" t="str">
        <f t="shared" si="1"/>
        <v/>
      </c>
      <c r="K49" s="44" t="str">
        <f t="shared" si="2"/>
        <v/>
      </c>
      <c r="L49" s="44" t="str">
        <f t="shared" si="3"/>
        <v/>
      </c>
      <c r="M49" s="44" t="str">
        <f t="shared" si="4"/>
        <v/>
      </c>
      <c r="N49" s="44" t="str">
        <f t="shared" si="5"/>
        <v/>
      </c>
      <c r="O49" s="44" t="str" cm="1">
        <f t="array" ref="O49">IF(E49="","",_xlfn._xlws.FILTER(#REF!,(#REF!=E49)*(#REF!=$R$4)*(#REF!=$Q$8)))</f>
        <v/>
      </c>
      <c r="P49" s="44" t="str">
        <f>IF(E49="","",VLOOKUP(E49,Calculations!$E$21:$P$98,12,0))</f>
        <v/>
      </c>
      <c r="Q49" s="44" t="str">
        <f>IF(E49="","",IF(VLOOKUP(E49,Calculations!$E$22:$U$1048576,17,0)="YES",ROUNDUP((H49*8%),0),0))</f>
        <v/>
      </c>
      <c r="R49" s="44" t="str" cm="1">
        <f t="array" ref="R49">IF(E49="","",(N49/30)*(_xlfn._xlws.FILTER(#REF!,(#REF!=E49)*(#REF!=$R$4)*(#REF!=$Q$8))+_xlfn._xlws.FILTER(#REF!,(#REF!=E49)*(#REF!=$R$4)*(#REF!=$Q$8))))</f>
        <v/>
      </c>
      <c r="S49" s="44" t="str" cm="1">
        <f t="array" ref="S49">IF(E49="","",ROUNDUP((N49/30)*(_xlfn._xlws.FILTER(#REF!,(#REF!=E49)*(#REF!=$R$4)*(#REF!=$Q$8))),0))</f>
        <v/>
      </c>
      <c r="T49" s="44" t="str">
        <f t="shared" si="6"/>
        <v/>
      </c>
      <c r="U49" s="44" t="str">
        <f t="shared" si="7"/>
        <v/>
      </c>
    </row>
    <row r="50" spans="5:21" x14ac:dyDescent="0.25">
      <c r="E50" s="44"/>
      <c r="F50" s="44" t="str">
        <f>IF(E50="","",IF(VLOOKUP(E50,Employees!A:L,2,0)="","",VLOOKUP(E50,Employees!A:L,2,0)))</f>
        <v/>
      </c>
      <c r="G50" s="44" t="str">
        <f>IF(E50="","",VLOOKUP(F50,Employees!B:M,2,0))</f>
        <v/>
      </c>
      <c r="H50" s="44" t="str">
        <f>IFERROR(ROUNDUP(IF(E50="","",((VLOOKUP(E50,Employees!A:L,12,0)-5000)*66.6666/100)),0),"")</f>
        <v/>
      </c>
      <c r="I50" s="44" t="str">
        <f t="shared" si="0"/>
        <v/>
      </c>
      <c r="J50" s="44" t="str">
        <f t="shared" si="1"/>
        <v/>
      </c>
      <c r="K50" s="44" t="str">
        <f t="shared" si="2"/>
        <v/>
      </c>
      <c r="L50" s="44" t="str">
        <f t="shared" si="3"/>
        <v/>
      </c>
      <c r="M50" s="44" t="str">
        <f t="shared" si="4"/>
        <v/>
      </c>
      <c r="N50" s="44" t="str">
        <f t="shared" si="5"/>
        <v/>
      </c>
      <c r="O50" s="44" t="str" cm="1">
        <f t="array" ref="O50">IF(E50="","",_xlfn._xlws.FILTER(#REF!,(#REF!=E50)*(#REF!=$R$4)*(#REF!=$Q$8)))</f>
        <v/>
      </c>
      <c r="P50" s="44" t="str">
        <f>IF(E50="","",VLOOKUP(E50,Calculations!$E$21:$P$98,12,0))</f>
        <v/>
      </c>
      <c r="Q50" s="44" t="str">
        <f>IF(E50="","",IF(VLOOKUP(E50,Calculations!$E$22:$U$1048576,17,0)="YES",ROUNDUP((H50*8%),0),0))</f>
        <v/>
      </c>
      <c r="R50" s="44" t="str" cm="1">
        <f t="array" ref="R50">IF(E50="","",(N50/30)*(_xlfn._xlws.FILTER(#REF!,(#REF!=E50)*(#REF!=$R$4)*(#REF!=$Q$8))+_xlfn._xlws.FILTER(#REF!,(#REF!=E50)*(#REF!=$R$4)*(#REF!=$Q$8))))</f>
        <v/>
      </c>
      <c r="S50" s="44" t="str" cm="1">
        <f t="array" ref="S50">IF(E50="","",ROUNDUP((N50/30)*(_xlfn._xlws.FILTER(#REF!,(#REF!=E50)*(#REF!=$R$4)*(#REF!=$Q$8))),0))</f>
        <v/>
      </c>
      <c r="T50" s="44" t="str">
        <f t="shared" si="6"/>
        <v/>
      </c>
      <c r="U50" s="44" t="str">
        <f t="shared" si="7"/>
        <v/>
      </c>
    </row>
    <row r="51" spans="5:21" x14ac:dyDescent="0.25">
      <c r="E51" s="44"/>
      <c r="F51" s="44" t="str">
        <f>IF(E51="","",IF(VLOOKUP(E51,Employees!A:L,2,0)="","",VLOOKUP(E51,Employees!A:L,2,0)))</f>
        <v/>
      </c>
      <c r="G51" s="44" t="str">
        <f>IF(E51="","",VLOOKUP(F51,Employees!B:M,2,0))</f>
        <v/>
      </c>
      <c r="H51" s="44" t="str">
        <f>IFERROR(ROUNDUP(IF(E51="","",((VLOOKUP(E51,Employees!A:L,12,0)-5000)*66.6666/100)),0),"")</f>
        <v/>
      </c>
      <c r="I51" s="44" t="str">
        <f t="shared" si="0"/>
        <v/>
      </c>
      <c r="J51" s="44" t="str">
        <f t="shared" si="1"/>
        <v/>
      </c>
      <c r="K51" s="44" t="str">
        <f t="shared" si="2"/>
        <v/>
      </c>
      <c r="L51" s="44" t="str">
        <f t="shared" si="3"/>
        <v/>
      </c>
      <c r="M51" s="44" t="str">
        <f t="shared" si="4"/>
        <v/>
      </c>
      <c r="N51" s="44" t="str">
        <f t="shared" si="5"/>
        <v/>
      </c>
      <c r="O51" s="44" t="str" cm="1">
        <f t="array" ref="O51">IF(E51="","",_xlfn._xlws.FILTER(#REF!,(#REF!=E51)*(#REF!=$R$4)*(#REF!=$Q$8)))</f>
        <v/>
      </c>
      <c r="P51" s="44" t="str">
        <f>IF(E51="","",VLOOKUP(E51,Calculations!$E$21:$P$98,12,0))</f>
        <v/>
      </c>
      <c r="Q51" s="44" t="str">
        <f>IF(E51="","",IF(VLOOKUP(E51,Calculations!$E$22:$U$1048576,17,0)="YES",ROUNDUP((H51*8%),0),0))</f>
        <v/>
      </c>
      <c r="R51" s="44" t="str" cm="1">
        <f t="array" ref="R51">IF(E51="","",(N51/30)*(_xlfn._xlws.FILTER(#REF!,(#REF!=E51)*(#REF!=$R$4)*(#REF!=$Q$8))+_xlfn._xlws.FILTER(#REF!,(#REF!=E51)*(#REF!=$R$4)*(#REF!=$Q$8))))</f>
        <v/>
      </c>
      <c r="S51" s="44" t="str" cm="1">
        <f t="array" ref="S51">IF(E51="","",ROUNDUP((N51/30)*(_xlfn._xlws.FILTER(#REF!,(#REF!=E51)*(#REF!=$R$4)*(#REF!=$Q$8))),0))</f>
        <v/>
      </c>
      <c r="T51" s="44" t="str">
        <f t="shared" si="6"/>
        <v/>
      </c>
      <c r="U51" s="44" t="str">
        <f t="shared" si="7"/>
        <v/>
      </c>
    </row>
    <row r="52" spans="5:21" x14ac:dyDescent="0.25">
      <c r="E52" s="44"/>
      <c r="F52" s="44" t="str">
        <f>IF(E52="","",IF(VLOOKUP(E52,Employees!A:L,2,0)="","",VLOOKUP(E52,Employees!A:L,2,0)))</f>
        <v/>
      </c>
      <c r="G52" s="44" t="str">
        <f>IF(E52="","",VLOOKUP(F52,Employees!B:M,2,0))</f>
        <v/>
      </c>
      <c r="H52" s="44" t="str">
        <f>IFERROR(ROUNDUP(IF(E52="","",((VLOOKUP(E52,Employees!A:L,12,0)-5000)*66.6666/100)),0),"")</f>
        <v/>
      </c>
      <c r="I52" s="44" t="str">
        <f t="shared" si="0"/>
        <v/>
      </c>
      <c r="J52" s="44" t="str">
        <f t="shared" si="1"/>
        <v/>
      </c>
      <c r="K52" s="44" t="str">
        <f t="shared" si="2"/>
        <v/>
      </c>
      <c r="L52" s="44" t="str">
        <f t="shared" si="3"/>
        <v/>
      </c>
      <c r="M52" s="44" t="str">
        <f t="shared" si="4"/>
        <v/>
      </c>
      <c r="N52" s="44" t="str">
        <f t="shared" si="5"/>
        <v/>
      </c>
      <c r="O52" s="44" t="str" cm="1">
        <f t="array" ref="O52">IF(E52="","",_xlfn._xlws.FILTER(#REF!,(#REF!=E52)*(#REF!=$R$4)*(#REF!=$Q$8)))</f>
        <v/>
      </c>
      <c r="P52" s="44" t="str">
        <f>IF(E52="","",VLOOKUP(E52,Calculations!$E$21:$P$98,12,0))</f>
        <v/>
      </c>
      <c r="Q52" s="44" t="str">
        <f>IF(E52="","",IF(VLOOKUP(E52,Calculations!$E$22:$U$1048576,17,0)="YES",ROUNDUP((H52*8%),0),0))</f>
        <v/>
      </c>
      <c r="R52" s="44" t="str" cm="1">
        <f t="array" ref="R52">IF(E52="","",(N52/30)*(_xlfn._xlws.FILTER(#REF!,(#REF!=E52)*(#REF!=$R$4)*(#REF!=$Q$8))+_xlfn._xlws.FILTER(#REF!,(#REF!=E52)*(#REF!=$R$4)*(#REF!=$Q$8))))</f>
        <v/>
      </c>
      <c r="S52" s="44" t="str" cm="1">
        <f t="array" ref="S52">IF(E52="","",ROUNDUP((N52/30)*(_xlfn._xlws.FILTER(#REF!,(#REF!=E52)*(#REF!=$R$4)*(#REF!=$Q$8))),0))</f>
        <v/>
      </c>
      <c r="T52" s="44" t="str">
        <f t="shared" si="6"/>
        <v/>
      </c>
      <c r="U52" s="44" t="str">
        <f t="shared" si="7"/>
        <v/>
      </c>
    </row>
    <row r="53" spans="5:21" x14ac:dyDescent="0.25">
      <c r="E53" s="44"/>
      <c r="F53" s="44" t="str">
        <f>IF(E53="","",IF(VLOOKUP(E53,Employees!A:L,2,0)="","",VLOOKUP(E53,Employees!A:L,2,0)))</f>
        <v/>
      </c>
      <c r="G53" s="44" t="str">
        <f>IF(E53="","",VLOOKUP(F53,Employees!B:M,2,0))</f>
        <v/>
      </c>
      <c r="H53" s="44" t="str">
        <f>IFERROR(ROUNDUP(IF(E53="","",((VLOOKUP(E53,Employees!A:L,12,0)-5000)*66.6666/100)),0),"")</f>
        <v/>
      </c>
      <c r="I53" s="44" t="str">
        <f t="shared" si="0"/>
        <v/>
      </c>
      <c r="J53" s="44" t="str">
        <f t="shared" si="1"/>
        <v/>
      </c>
      <c r="K53" s="44" t="str">
        <f t="shared" si="2"/>
        <v/>
      </c>
      <c r="L53" s="44" t="str">
        <f t="shared" si="3"/>
        <v/>
      </c>
      <c r="M53" s="44" t="str">
        <f t="shared" si="4"/>
        <v/>
      </c>
      <c r="N53" s="44" t="str">
        <f t="shared" si="5"/>
        <v/>
      </c>
      <c r="O53" s="44" t="str" cm="1">
        <f t="array" ref="O53">IF(E53="","",_xlfn._xlws.FILTER(#REF!,(#REF!=E53)*(#REF!=$R$4)*(#REF!=$Q$8)))</f>
        <v/>
      </c>
      <c r="P53" s="44" t="str">
        <f>IF(E53="","",VLOOKUP(E53,Calculations!$E$21:$P$98,12,0))</f>
        <v/>
      </c>
      <c r="Q53" s="44" t="str">
        <f>IF(E53="","",IF(VLOOKUP(E53,Calculations!$E$22:$U$1048576,17,0)="YES",ROUNDUP((H53*8%),0),0))</f>
        <v/>
      </c>
      <c r="R53" s="44" t="str" cm="1">
        <f t="array" ref="R53">IF(E53="","",(N53/30)*(_xlfn._xlws.FILTER(#REF!,(#REF!=E53)*(#REF!=$R$4)*(#REF!=$Q$8))+_xlfn._xlws.FILTER(#REF!,(#REF!=E53)*(#REF!=$R$4)*(#REF!=$Q$8))))</f>
        <v/>
      </c>
      <c r="S53" s="44" t="str" cm="1">
        <f t="array" ref="S53">IF(E53="","",ROUNDUP((N53/30)*(_xlfn._xlws.FILTER(#REF!,(#REF!=E53)*(#REF!=$R$4)*(#REF!=$Q$8))),0))</f>
        <v/>
      </c>
      <c r="T53" s="44" t="str">
        <f t="shared" si="6"/>
        <v/>
      </c>
      <c r="U53" s="44" t="str">
        <f t="shared" si="7"/>
        <v/>
      </c>
    </row>
    <row r="54" spans="5:21" x14ac:dyDescent="0.25">
      <c r="E54" s="44"/>
      <c r="F54" s="44" t="str">
        <f>IF(E54="","",IF(VLOOKUP(E54,Employees!A:L,2,0)="","",VLOOKUP(E54,Employees!A:L,2,0)))</f>
        <v/>
      </c>
      <c r="G54" s="44" t="str">
        <f>IF(E54="","",VLOOKUP(F54,Employees!B:M,2,0))</f>
        <v/>
      </c>
      <c r="H54" s="44" t="str">
        <f>IFERROR(ROUNDUP(IF(E54="","",((VLOOKUP(E54,Employees!A:L,12,0)-5000)*66.6666/100)),0),"")</f>
        <v/>
      </c>
      <c r="I54" s="44" t="str">
        <f t="shared" si="0"/>
        <v/>
      </c>
      <c r="J54" s="44" t="str">
        <f t="shared" si="1"/>
        <v/>
      </c>
      <c r="K54" s="44" t="str">
        <f t="shared" si="2"/>
        <v/>
      </c>
      <c r="L54" s="44" t="str">
        <f t="shared" si="3"/>
        <v/>
      </c>
      <c r="M54" s="44" t="str">
        <f t="shared" si="4"/>
        <v/>
      </c>
      <c r="N54" s="44" t="str">
        <f t="shared" si="5"/>
        <v/>
      </c>
      <c r="O54" s="44" t="str" cm="1">
        <f t="array" ref="O54">IF(E54="","",_xlfn._xlws.FILTER(#REF!,(#REF!=E54)*(#REF!=$R$4)*(#REF!=$Q$8)))</f>
        <v/>
      </c>
      <c r="P54" s="44" t="str">
        <f>IF(E54="","",VLOOKUP(E54,Calculations!$E$21:$P$98,12,0))</f>
        <v/>
      </c>
      <c r="Q54" s="44" t="str">
        <f>IF(E54="","",IF(VLOOKUP(E54,Calculations!$E$22:$U$1048576,17,0)="YES",ROUNDUP((H54*8%),0),0))</f>
        <v/>
      </c>
      <c r="R54" s="44" t="str" cm="1">
        <f t="array" ref="R54">IF(E54="","",(N54/30)*(_xlfn._xlws.FILTER(#REF!,(#REF!=E54)*(#REF!=$R$4)*(#REF!=$Q$8))+_xlfn._xlws.FILTER(#REF!,(#REF!=E54)*(#REF!=$R$4)*(#REF!=$Q$8))))</f>
        <v/>
      </c>
      <c r="S54" s="44" t="str" cm="1">
        <f t="array" ref="S54">IF(E54="","",ROUNDUP((N54/30)*(_xlfn._xlws.FILTER(#REF!,(#REF!=E54)*(#REF!=$R$4)*(#REF!=$Q$8))),0))</f>
        <v/>
      </c>
      <c r="T54" s="44" t="str">
        <f t="shared" si="6"/>
        <v/>
      </c>
      <c r="U54" s="44" t="str">
        <f t="shared" si="7"/>
        <v/>
      </c>
    </row>
    <row r="55" spans="5:21" x14ac:dyDescent="0.25">
      <c r="E55" s="44"/>
      <c r="F55" s="44" t="str">
        <f>IF(E55="","",IF(VLOOKUP(E55,Employees!A:L,2,0)="","",VLOOKUP(E55,Employees!A:L,2,0)))</f>
        <v/>
      </c>
      <c r="G55" s="44" t="str">
        <f>IF(E55="","",VLOOKUP(F55,Employees!B:M,2,0))</f>
        <v/>
      </c>
      <c r="H55" s="44" t="str">
        <f>IFERROR(ROUNDUP(IF(E55="","",((VLOOKUP(E55,Employees!A:L,12,0)-5000)*66.6666/100)),0),"")</f>
        <v/>
      </c>
      <c r="I55" s="44" t="str">
        <f t="shared" si="0"/>
        <v/>
      </c>
      <c r="J55" s="44" t="str">
        <f t="shared" si="1"/>
        <v/>
      </c>
      <c r="K55" s="44" t="str">
        <f t="shared" si="2"/>
        <v/>
      </c>
      <c r="L55" s="44" t="str">
        <f t="shared" si="3"/>
        <v/>
      </c>
      <c r="M55" s="44" t="str">
        <f t="shared" si="4"/>
        <v/>
      </c>
      <c r="N55" s="44" t="str">
        <f t="shared" si="5"/>
        <v/>
      </c>
      <c r="O55" s="44" t="str" cm="1">
        <f t="array" ref="O55">IF(E55="","",_xlfn._xlws.FILTER(#REF!,(#REF!=E55)*(#REF!=$R$4)*(#REF!=$Q$8)))</f>
        <v/>
      </c>
      <c r="P55" s="44" t="str">
        <f>IF(E55="","",VLOOKUP(E55,Calculations!$E$21:$P$98,12,0))</f>
        <v/>
      </c>
      <c r="Q55" s="44" t="str">
        <f>IF(E55="","",IF(VLOOKUP(E55,Calculations!$E$22:$U$1048576,17,0)="YES",ROUNDUP((H55*8%),0),0))</f>
        <v/>
      </c>
      <c r="R55" s="44" t="str" cm="1">
        <f t="array" ref="R55">IF(E55="","",(N55/30)*(_xlfn._xlws.FILTER(#REF!,(#REF!=E55)*(#REF!=$R$4)*(#REF!=$Q$8))+_xlfn._xlws.FILTER(#REF!,(#REF!=E55)*(#REF!=$R$4)*(#REF!=$Q$8))))</f>
        <v/>
      </c>
      <c r="S55" s="44" t="str" cm="1">
        <f t="array" ref="S55">IF(E55="","",ROUNDUP((N55/30)*(_xlfn._xlws.FILTER(#REF!,(#REF!=E55)*(#REF!=$R$4)*(#REF!=$Q$8))),0))</f>
        <v/>
      </c>
      <c r="T55" s="44" t="str">
        <f t="shared" si="6"/>
        <v/>
      </c>
      <c r="U55" s="44" t="str">
        <f t="shared" si="7"/>
        <v/>
      </c>
    </row>
    <row r="56" spans="5:21" x14ac:dyDescent="0.25">
      <c r="E56" s="44"/>
      <c r="F56" s="44" t="str">
        <f>IF(E56="","",IF(VLOOKUP(E56,Employees!A:L,2,0)="","",VLOOKUP(E56,Employees!A:L,2,0)))</f>
        <v/>
      </c>
      <c r="G56" s="44" t="str">
        <f>IF(E56="","",VLOOKUP(F56,Employees!B:M,2,0))</f>
        <v/>
      </c>
      <c r="H56" s="44" t="str">
        <f>IFERROR(ROUNDUP(IF(E56="","",((VLOOKUP(E56,Employees!A:L,12,0)-5000)*66.6666/100)),0),"")</f>
        <v/>
      </c>
      <c r="I56" s="44" t="str">
        <f t="shared" si="0"/>
        <v/>
      </c>
      <c r="J56" s="44" t="str">
        <f t="shared" si="1"/>
        <v/>
      </c>
      <c r="K56" s="44" t="str">
        <f t="shared" si="2"/>
        <v/>
      </c>
      <c r="L56" s="44" t="str">
        <f t="shared" si="3"/>
        <v/>
      </c>
      <c r="M56" s="44" t="str">
        <f t="shared" si="4"/>
        <v/>
      </c>
      <c r="N56" s="44" t="str">
        <f t="shared" si="5"/>
        <v/>
      </c>
      <c r="O56" s="44" t="str" cm="1">
        <f t="array" ref="O56">IF(E56="","",_xlfn._xlws.FILTER(#REF!,(#REF!=E56)*(#REF!=$R$4)*(#REF!=$Q$8)))</f>
        <v/>
      </c>
      <c r="P56" s="44" t="str">
        <f>IF(E56="","",VLOOKUP(E56,Calculations!$E$21:$P$98,12,0))</f>
        <v/>
      </c>
      <c r="Q56" s="44" t="str">
        <f>IF(E56="","",IF(VLOOKUP(E56,Calculations!$E$22:$U$1048576,17,0)="YES",ROUNDUP((H56*8%),0),0))</f>
        <v/>
      </c>
      <c r="R56" s="44" t="str" cm="1">
        <f t="array" ref="R56">IF(E56="","",(N56/30)*(_xlfn._xlws.FILTER(#REF!,(#REF!=E56)*(#REF!=$R$4)*(#REF!=$Q$8))+_xlfn._xlws.FILTER(#REF!,(#REF!=E56)*(#REF!=$R$4)*(#REF!=$Q$8))))</f>
        <v/>
      </c>
      <c r="S56" s="44" t="str" cm="1">
        <f t="array" ref="S56">IF(E56="","",ROUNDUP((N56/30)*(_xlfn._xlws.FILTER(#REF!,(#REF!=E56)*(#REF!=$R$4)*(#REF!=$Q$8))),0))</f>
        <v/>
      </c>
      <c r="T56" s="44" t="str">
        <f t="shared" si="6"/>
        <v/>
      </c>
      <c r="U56" s="44" t="str">
        <f t="shared" si="7"/>
        <v/>
      </c>
    </row>
    <row r="57" spans="5:21" x14ac:dyDescent="0.25">
      <c r="E57" s="44"/>
      <c r="F57" s="44" t="str">
        <f>IF(E57="","",IF(VLOOKUP(E57,Employees!A:L,2,0)="","",VLOOKUP(E57,Employees!A:L,2,0)))</f>
        <v/>
      </c>
      <c r="G57" s="44" t="str">
        <f>IF(E57="","",VLOOKUP(F57,Employees!B:M,2,0))</f>
        <v/>
      </c>
      <c r="H57" s="44" t="str">
        <f>IFERROR(ROUNDUP(IF(E57="","",((VLOOKUP(E57,Employees!A:L,12,0)-5000)*66.6666/100)),0),"")</f>
        <v/>
      </c>
      <c r="I57" s="44" t="str">
        <f t="shared" si="0"/>
        <v/>
      </c>
      <c r="J57" s="44" t="str">
        <f t="shared" si="1"/>
        <v/>
      </c>
      <c r="K57" s="44" t="str">
        <f t="shared" si="2"/>
        <v/>
      </c>
      <c r="L57" s="44" t="str">
        <f t="shared" si="3"/>
        <v/>
      </c>
      <c r="M57" s="44" t="str">
        <f t="shared" si="4"/>
        <v/>
      </c>
      <c r="N57" s="44" t="str">
        <f t="shared" si="5"/>
        <v/>
      </c>
      <c r="O57" s="44" t="str" cm="1">
        <f t="array" ref="O57">IF(E57="","",_xlfn._xlws.FILTER(#REF!,(#REF!=E57)*(#REF!=$R$4)*(#REF!=$Q$8)))</f>
        <v/>
      </c>
      <c r="P57" s="44" t="str">
        <f>IF(E57="","",VLOOKUP(E57,Calculations!$E$21:$P$98,12,0))</f>
        <v/>
      </c>
      <c r="Q57" s="44" t="str">
        <f>IF(E57="","",IF(VLOOKUP(E57,Calculations!$E$22:$U$1048576,17,0)="YES",ROUNDUP((H57*8%),0),0))</f>
        <v/>
      </c>
      <c r="R57" s="44" t="str" cm="1">
        <f t="array" ref="R57">IF(E57="","",(N57/30)*(_xlfn._xlws.FILTER(#REF!,(#REF!=E57)*(#REF!=$R$4)*(#REF!=$Q$8))+_xlfn._xlws.FILTER(#REF!,(#REF!=E57)*(#REF!=$R$4)*(#REF!=$Q$8))))</f>
        <v/>
      </c>
      <c r="S57" s="44" t="str" cm="1">
        <f t="array" ref="S57">IF(E57="","",ROUNDUP((N57/30)*(_xlfn._xlws.FILTER(#REF!,(#REF!=E57)*(#REF!=$R$4)*(#REF!=$Q$8))),0))</f>
        <v/>
      </c>
      <c r="T57" s="44" t="str">
        <f t="shared" si="6"/>
        <v/>
      </c>
      <c r="U57" s="44" t="str">
        <f t="shared" si="7"/>
        <v/>
      </c>
    </row>
    <row r="58" spans="5:21" x14ac:dyDescent="0.25">
      <c r="E58" s="44"/>
      <c r="F58" s="44" t="str">
        <f>IF(E58="","",IF(VLOOKUP(E58,Employees!A:L,2,0)="","",VLOOKUP(E58,Employees!A:L,2,0)))</f>
        <v/>
      </c>
      <c r="G58" s="44" t="str">
        <f>IF(E58="","",VLOOKUP(F58,Employees!B:M,2,0))</f>
        <v/>
      </c>
      <c r="H58" s="44" t="str">
        <f>IFERROR(ROUNDUP(IF(E58="","",((VLOOKUP(E58,Employees!A:L,12,0)-5000)*66.6666/100)),0),"")</f>
        <v/>
      </c>
      <c r="I58" s="44" t="str">
        <f t="shared" si="0"/>
        <v/>
      </c>
      <c r="J58" s="44" t="str">
        <f t="shared" si="1"/>
        <v/>
      </c>
      <c r="K58" s="44" t="str">
        <f t="shared" si="2"/>
        <v/>
      </c>
      <c r="L58" s="44" t="str">
        <f t="shared" si="3"/>
        <v/>
      </c>
      <c r="M58" s="44" t="str">
        <f t="shared" si="4"/>
        <v/>
      </c>
      <c r="N58" s="44" t="str">
        <f t="shared" si="5"/>
        <v/>
      </c>
      <c r="O58" s="44" t="str" cm="1">
        <f t="array" ref="O58">IF(E58="","",_xlfn._xlws.FILTER(#REF!,(#REF!=E58)*(#REF!=$R$4)*(#REF!=$Q$8)))</f>
        <v/>
      </c>
      <c r="P58" s="44" t="str">
        <f>IF(E58="","",VLOOKUP(E58,Calculations!$E$21:$P$98,12,0))</f>
        <v/>
      </c>
      <c r="Q58" s="44" t="str">
        <f>IF(E58="","",IF(VLOOKUP(E58,Calculations!$E$22:$U$1048576,17,0)="YES",ROUNDUP((H58*8%),0),0))</f>
        <v/>
      </c>
      <c r="R58" s="44" t="str" cm="1">
        <f t="array" ref="R58">IF(E58="","",(N58/30)*(_xlfn._xlws.FILTER(#REF!,(#REF!=E58)*(#REF!=$R$4)*(#REF!=$Q$8))+_xlfn._xlws.FILTER(#REF!,(#REF!=E58)*(#REF!=$R$4)*(#REF!=$Q$8))))</f>
        <v/>
      </c>
      <c r="S58" s="44" t="str" cm="1">
        <f t="array" ref="S58">IF(E58="","",ROUNDUP((N58/30)*(_xlfn._xlws.FILTER(#REF!,(#REF!=E58)*(#REF!=$R$4)*(#REF!=$Q$8))),0))</f>
        <v/>
      </c>
      <c r="T58" s="44" t="str">
        <f t="shared" si="6"/>
        <v/>
      </c>
      <c r="U58" s="44" t="str">
        <f t="shared" si="7"/>
        <v/>
      </c>
    </row>
    <row r="59" spans="5:21" x14ac:dyDescent="0.25">
      <c r="E59" s="44"/>
      <c r="F59" s="44" t="str">
        <f>IF(E59="","",IF(VLOOKUP(E59,Employees!A:L,2,0)="","",VLOOKUP(E59,Employees!A:L,2,0)))</f>
        <v/>
      </c>
      <c r="G59" s="44" t="str">
        <f>IF(E59="","",VLOOKUP(F59,Employees!B:M,2,0))</f>
        <v/>
      </c>
      <c r="H59" s="44" t="str">
        <f>IFERROR(ROUNDUP(IF(E59="","",((VLOOKUP(E59,Employees!A:L,12,0)-5000)*66.6666/100)),0),"")</f>
        <v/>
      </c>
      <c r="I59" s="44" t="str">
        <f t="shared" si="0"/>
        <v/>
      </c>
      <c r="J59" s="44" t="str">
        <f t="shared" si="1"/>
        <v/>
      </c>
      <c r="K59" s="44" t="str">
        <f t="shared" si="2"/>
        <v/>
      </c>
      <c r="L59" s="44" t="str">
        <f t="shared" si="3"/>
        <v/>
      </c>
      <c r="M59" s="44" t="str">
        <f t="shared" si="4"/>
        <v/>
      </c>
      <c r="N59" s="44" t="str">
        <f t="shared" si="5"/>
        <v/>
      </c>
      <c r="O59" s="44" t="str" cm="1">
        <f t="array" ref="O59">IF(E59="","",_xlfn._xlws.FILTER(#REF!,(#REF!=E59)*(#REF!=$R$4)*(#REF!=$Q$8)))</f>
        <v/>
      </c>
      <c r="P59" s="44" t="str">
        <f>IF(E59="","",VLOOKUP(E59,Calculations!$E$21:$P$98,12,0))</f>
        <v/>
      </c>
      <c r="Q59" s="44" t="str">
        <f>IF(E59="","",IF(VLOOKUP(E59,Calculations!$E$22:$U$1048576,17,0)="YES",ROUNDUP((H59*8%),0),0))</f>
        <v/>
      </c>
      <c r="R59" s="44" t="str" cm="1">
        <f t="array" ref="R59">IF(E59="","",(N59/30)*(_xlfn._xlws.FILTER(#REF!,(#REF!=E59)*(#REF!=$R$4)*(#REF!=$Q$8))+_xlfn._xlws.FILTER(#REF!,(#REF!=E59)*(#REF!=$R$4)*(#REF!=$Q$8))))</f>
        <v/>
      </c>
      <c r="S59" s="44" t="str" cm="1">
        <f t="array" ref="S59">IF(E59="","",ROUNDUP((N59/30)*(_xlfn._xlws.FILTER(#REF!,(#REF!=E59)*(#REF!=$R$4)*(#REF!=$Q$8))),0))</f>
        <v/>
      </c>
      <c r="T59" s="44" t="str">
        <f t="shared" si="6"/>
        <v/>
      </c>
      <c r="U59" s="44" t="str">
        <f t="shared" si="7"/>
        <v/>
      </c>
    </row>
    <row r="60" spans="5:21" x14ac:dyDescent="0.25">
      <c r="E60" s="44"/>
      <c r="F60" s="44" t="str">
        <f>IF(E60="","",IF(VLOOKUP(E60,Employees!A:L,2,0)="","",VLOOKUP(E60,Employees!A:L,2,0)))</f>
        <v/>
      </c>
      <c r="G60" s="44" t="str">
        <f>IF(E60="","",VLOOKUP(F60,Employees!B:M,2,0))</f>
        <v/>
      </c>
      <c r="H60" s="44" t="str">
        <f>IFERROR(ROUNDUP(IF(E60="","",((VLOOKUP(E60,Employees!A:L,12,0)-5000)*66.6666/100)),0),"")</f>
        <v/>
      </c>
      <c r="I60" s="44" t="str">
        <f t="shared" si="0"/>
        <v/>
      </c>
      <c r="J60" s="44" t="str">
        <f t="shared" si="1"/>
        <v/>
      </c>
      <c r="K60" s="44" t="str">
        <f t="shared" si="2"/>
        <v/>
      </c>
      <c r="L60" s="44" t="str">
        <f t="shared" si="3"/>
        <v/>
      </c>
      <c r="M60" s="44" t="str">
        <f t="shared" si="4"/>
        <v/>
      </c>
      <c r="N60" s="44" t="str">
        <f t="shared" si="5"/>
        <v/>
      </c>
      <c r="O60" s="44" t="str" cm="1">
        <f t="array" ref="O60">IF(E60="","",_xlfn._xlws.FILTER(#REF!,(#REF!=E60)*(#REF!=$R$4)*(#REF!=$Q$8)))</f>
        <v/>
      </c>
      <c r="P60" s="44" t="str">
        <f>IF(E60="","",VLOOKUP(E60,Calculations!$E$21:$P$98,12,0))</f>
        <v/>
      </c>
      <c r="Q60" s="44" t="str">
        <f>IF(E60="","",IF(VLOOKUP(E60,Calculations!$E$22:$U$1048576,17,0)="YES",ROUNDUP((H60*8%),0),0))</f>
        <v/>
      </c>
      <c r="R60" s="44" t="str" cm="1">
        <f t="array" ref="R60">IF(E60="","",(N60/30)*(_xlfn._xlws.FILTER(#REF!,(#REF!=E60)*(#REF!=$R$4)*(#REF!=$Q$8))+_xlfn._xlws.FILTER(#REF!,(#REF!=E60)*(#REF!=$R$4)*(#REF!=$Q$8))))</f>
        <v/>
      </c>
      <c r="S60" s="44" t="str" cm="1">
        <f t="array" ref="S60">IF(E60="","",ROUNDUP((N60/30)*(_xlfn._xlws.FILTER(#REF!,(#REF!=E60)*(#REF!=$R$4)*(#REF!=$Q$8))),0))</f>
        <v/>
      </c>
      <c r="T60" s="44" t="str">
        <f t="shared" si="6"/>
        <v/>
      </c>
      <c r="U60" s="44" t="str">
        <f t="shared" si="7"/>
        <v/>
      </c>
    </row>
    <row r="61" spans="5:21" x14ac:dyDescent="0.25">
      <c r="E61" s="44"/>
      <c r="F61" s="44" t="str">
        <f>IF(E61="","",IF(VLOOKUP(E61,Employees!A:L,2,0)="","",VLOOKUP(E61,Employees!A:L,2,0)))</f>
        <v/>
      </c>
      <c r="G61" s="44" t="str">
        <f>IF(E61="","",VLOOKUP(F61,Employees!B:M,2,0))</f>
        <v/>
      </c>
      <c r="H61" s="44" t="str">
        <f>IFERROR(ROUNDUP(IF(E61="","",((VLOOKUP(E61,Employees!A:L,12,0)-5000)*66.6666/100)),0),"")</f>
        <v/>
      </c>
      <c r="I61" s="44" t="str">
        <f t="shared" si="0"/>
        <v/>
      </c>
      <c r="J61" s="44" t="str">
        <f t="shared" si="1"/>
        <v/>
      </c>
      <c r="K61" s="44" t="str">
        <f t="shared" si="2"/>
        <v/>
      </c>
      <c r="L61" s="44" t="str">
        <f t="shared" si="3"/>
        <v/>
      </c>
      <c r="M61" s="44" t="str">
        <f t="shared" si="4"/>
        <v/>
      </c>
      <c r="N61" s="44" t="str">
        <f t="shared" si="5"/>
        <v/>
      </c>
      <c r="O61" s="44" t="str" cm="1">
        <f t="array" ref="O61">IF(E61="","",_xlfn._xlws.FILTER(#REF!,(#REF!=E61)*(#REF!=$R$4)*(#REF!=$Q$8)))</f>
        <v/>
      </c>
      <c r="P61" s="44" t="str">
        <f>IF(E61="","",VLOOKUP(E61,Calculations!$E$21:$P$98,12,0))</f>
        <v/>
      </c>
      <c r="Q61" s="44" t="str">
        <f>IF(E61="","",IF(VLOOKUP(E61,Calculations!$E$22:$U$1048576,17,0)="YES",ROUNDUP((H61*8%),0),0))</f>
        <v/>
      </c>
      <c r="R61" s="44" t="str" cm="1">
        <f t="array" ref="R61">IF(E61="","",(N61/30)*(_xlfn._xlws.FILTER(#REF!,(#REF!=E61)*(#REF!=$R$4)*(#REF!=$Q$8))+_xlfn._xlws.FILTER(#REF!,(#REF!=E61)*(#REF!=$R$4)*(#REF!=$Q$8))))</f>
        <v/>
      </c>
      <c r="S61" s="44" t="str" cm="1">
        <f t="array" ref="S61">IF(E61="","",ROUNDUP((N61/30)*(_xlfn._xlws.FILTER(#REF!,(#REF!=E61)*(#REF!=$R$4)*(#REF!=$Q$8))),0))</f>
        <v/>
      </c>
      <c r="T61" s="44" t="str">
        <f t="shared" si="6"/>
        <v/>
      </c>
      <c r="U61" s="44" t="str">
        <f t="shared" si="7"/>
        <v/>
      </c>
    </row>
    <row r="62" spans="5:21" x14ac:dyDescent="0.25">
      <c r="E62" s="44"/>
      <c r="F62" s="44" t="str">
        <f>IF(E62="","",IF(VLOOKUP(E62,Employees!A:L,2,0)="","",VLOOKUP(E62,Employees!A:L,2,0)))</f>
        <v/>
      </c>
      <c r="G62" s="44" t="str">
        <f>IF(E62="","",VLOOKUP(F62,Employees!B:M,2,0))</f>
        <v/>
      </c>
      <c r="H62" s="44" t="str">
        <f>IFERROR(ROUNDUP(IF(E62="","",((VLOOKUP(E62,Employees!A:L,12,0)-5000)*66.6666/100)),0),"")</f>
        <v/>
      </c>
      <c r="I62" s="44" t="str">
        <f t="shared" si="0"/>
        <v/>
      </c>
      <c r="J62" s="44" t="str">
        <f t="shared" si="1"/>
        <v/>
      </c>
      <c r="K62" s="44" t="str">
        <f t="shared" si="2"/>
        <v/>
      </c>
      <c r="L62" s="44" t="str">
        <f t="shared" si="3"/>
        <v/>
      </c>
      <c r="M62" s="44" t="str">
        <f t="shared" si="4"/>
        <v/>
      </c>
      <c r="N62" s="44" t="str">
        <f t="shared" si="5"/>
        <v/>
      </c>
      <c r="O62" s="44" t="str" cm="1">
        <f t="array" ref="O62">IF(E62="","",_xlfn._xlws.FILTER(#REF!,(#REF!=E62)*(#REF!=$R$4)*(#REF!=$Q$8)))</f>
        <v/>
      </c>
      <c r="P62" s="44" t="str">
        <f>IF(E62="","",VLOOKUP(E62,Calculations!$E$21:$P$98,12,0))</f>
        <v/>
      </c>
      <c r="Q62" s="44" t="str">
        <f>IF(E62="","",IF(VLOOKUP(E62,Calculations!$E$22:$U$1048576,17,0)="YES",ROUNDUP((H62*8%),0),0))</f>
        <v/>
      </c>
      <c r="R62" s="44" t="str" cm="1">
        <f t="array" ref="R62">IF(E62="","",(N62/30)*(_xlfn._xlws.FILTER(#REF!,(#REF!=E62)*(#REF!=$R$4)*(#REF!=$Q$8))+_xlfn._xlws.FILTER(#REF!,(#REF!=E62)*(#REF!=$R$4)*(#REF!=$Q$8))))</f>
        <v/>
      </c>
      <c r="S62" s="44" t="str" cm="1">
        <f t="array" ref="S62">IF(E62="","",ROUNDUP((N62/30)*(_xlfn._xlws.FILTER(#REF!,(#REF!=E62)*(#REF!=$R$4)*(#REF!=$Q$8))),0))</f>
        <v/>
      </c>
      <c r="T62" s="44" t="str">
        <f t="shared" si="6"/>
        <v/>
      </c>
      <c r="U62" s="44" t="str">
        <f t="shared" si="7"/>
        <v/>
      </c>
    </row>
    <row r="63" spans="5:21" x14ac:dyDescent="0.25">
      <c r="E63" s="44"/>
      <c r="F63" s="44" t="str">
        <f>IF(E63="","",IF(VLOOKUP(E63,Employees!A:L,2,0)="","",VLOOKUP(E63,Employees!A:L,2,0)))</f>
        <v/>
      </c>
      <c r="G63" s="44" t="str">
        <f>IF(E63="","",VLOOKUP(F63,Employees!B:M,2,0))</f>
        <v/>
      </c>
      <c r="H63" s="44" t="str">
        <f>IFERROR(ROUNDUP(IF(E63="","",((VLOOKUP(E63,Employees!A:L,12,0)-5000)*66.6666/100)),0),"")</f>
        <v/>
      </c>
      <c r="I63" s="44" t="str">
        <f t="shared" si="0"/>
        <v/>
      </c>
      <c r="J63" s="44" t="str">
        <f t="shared" si="1"/>
        <v/>
      </c>
      <c r="K63" s="44" t="str">
        <f t="shared" si="2"/>
        <v/>
      </c>
      <c r="L63" s="44" t="str">
        <f t="shared" si="3"/>
        <v/>
      </c>
      <c r="M63" s="44" t="str">
        <f t="shared" si="4"/>
        <v/>
      </c>
      <c r="N63" s="44" t="str">
        <f t="shared" si="5"/>
        <v/>
      </c>
      <c r="O63" s="44" t="str" cm="1">
        <f t="array" ref="O63">IF(E63="","",_xlfn._xlws.FILTER(#REF!,(#REF!=E63)*(#REF!=$R$4)*(#REF!=$Q$8)))</f>
        <v/>
      </c>
      <c r="P63" s="44" t="str">
        <f>IF(E63="","",VLOOKUP(E63,Calculations!$E$21:$P$98,12,0))</f>
        <v/>
      </c>
      <c r="Q63" s="44" t="str">
        <f>IF(E63="","",IF(VLOOKUP(E63,Calculations!$E$22:$U$1048576,17,0)="YES",ROUNDUP((H63*8%),0),0))</f>
        <v/>
      </c>
      <c r="R63" s="44" t="str" cm="1">
        <f t="array" ref="R63">IF(E63="","",(N63/30)*(_xlfn._xlws.FILTER(#REF!,(#REF!=E63)*(#REF!=$R$4)*(#REF!=$Q$8))+_xlfn._xlws.FILTER(#REF!,(#REF!=E63)*(#REF!=$R$4)*(#REF!=$Q$8))))</f>
        <v/>
      </c>
      <c r="S63" s="44" t="str" cm="1">
        <f t="array" ref="S63">IF(E63="","",ROUNDUP((N63/30)*(_xlfn._xlws.FILTER(#REF!,(#REF!=E63)*(#REF!=$R$4)*(#REF!=$Q$8))),0))</f>
        <v/>
      </c>
      <c r="T63" s="44" t="str">
        <f t="shared" si="6"/>
        <v/>
      </c>
      <c r="U63" s="44" t="str">
        <f t="shared" si="7"/>
        <v/>
      </c>
    </row>
    <row r="64" spans="5:21" x14ac:dyDescent="0.25">
      <c r="E64" s="44"/>
      <c r="F64" s="44" t="str">
        <f>IF(E64="","",IF(VLOOKUP(E64,Employees!A:L,2,0)="","",VLOOKUP(E64,Employees!A:L,2,0)))</f>
        <v/>
      </c>
      <c r="G64" s="44" t="str">
        <f>IF(E64="","",VLOOKUP(F64,Employees!B:M,2,0))</f>
        <v/>
      </c>
      <c r="H64" s="44" t="str">
        <f>IFERROR(ROUNDUP(IF(E64="","",((VLOOKUP(E64,Employees!A:L,12,0)-5000)*66.6666/100)),0),"")</f>
        <v/>
      </c>
      <c r="I64" s="44" t="str">
        <f t="shared" si="0"/>
        <v/>
      </c>
      <c r="J64" s="44" t="str">
        <f t="shared" si="1"/>
        <v/>
      </c>
      <c r="K64" s="44" t="str">
        <f t="shared" si="2"/>
        <v/>
      </c>
      <c r="L64" s="44" t="str">
        <f t="shared" si="3"/>
        <v/>
      </c>
      <c r="M64" s="44" t="str">
        <f t="shared" si="4"/>
        <v/>
      </c>
      <c r="N64" s="44" t="str">
        <f t="shared" si="5"/>
        <v/>
      </c>
      <c r="O64" s="44" t="str" cm="1">
        <f t="array" ref="O64">IF(E64="","",_xlfn._xlws.FILTER(#REF!,(#REF!=E64)*(#REF!=$R$4)*(#REF!=$Q$8)))</f>
        <v/>
      </c>
      <c r="P64" s="44" t="str">
        <f>IF(E64="","",VLOOKUP(E64,Calculations!$E$21:$P$98,12,0))</f>
        <v/>
      </c>
      <c r="Q64" s="44" t="str">
        <f>IF(E64="","",IF(VLOOKUP(E64,Calculations!$E$22:$U$1048576,17,0)="YES",ROUNDUP((H64*8%),0),0))</f>
        <v/>
      </c>
      <c r="R64" s="44" t="str" cm="1">
        <f t="array" ref="R64">IF(E64="","",(N64/30)*(_xlfn._xlws.FILTER(#REF!,(#REF!=E64)*(#REF!=$R$4)*(#REF!=$Q$8))+_xlfn._xlws.FILTER(#REF!,(#REF!=E64)*(#REF!=$R$4)*(#REF!=$Q$8))))</f>
        <v/>
      </c>
      <c r="S64" s="44" t="str" cm="1">
        <f t="array" ref="S64">IF(E64="","",ROUNDUP((N64/30)*(_xlfn._xlws.FILTER(#REF!,(#REF!=E64)*(#REF!=$R$4)*(#REF!=$Q$8))),0))</f>
        <v/>
      </c>
      <c r="T64" s="44" t="str">
        <f t="shared" si="6"/>
        <v/>
      </c>
      <c r="U64" s="44" t="str">
        <f t="shared" si="7"/>
        <v/>
      </c>
    </row>
    <row r="65" spans="5:21" x14ac:dyDescent="0.25">
      <c r="E65" s="44"/>
      <c r="F65" s="44" t="str">
        <f>IF(E65="","",IF(VLOOKUP(E65,Employees!A:L,2,0)="","",VLOOKUP(E65,Employees!A:L,2,0)))</f>
        <v/>
      </c>
      <c r="G65" s="44" t="str">
        <f>IF(E65="","",VLOOKUP(F65,Employees!B:M,2,0))</f>
        <v/>
      </c>
      <c r="H65" s="44" t="str">
        <f>IFERROR(ROUNDUP(IF(E65="","",((VLOOKUP(E65,Employees!A:L,12,0)-5000)*66.6666/100)),0),"")</f>
        <v/>
      </c>
      <c r="I65" s="44" t="str">
        <f t="shared" si="0"/>
        <v/>
      </c>
      <c r="J65" s="44" t="str">
        <f t="shared" si="1"/>
        <v/>
      </c>
      <c r="K65" s="44" t="str">
        <f t="shared" si="2"/>
        <v/>
      </c>
      <c r="L65" s="44" t="str">
        <f t="shared" si="3"/>
        <v/>
      </c>
      <c r="M65" s="44" t="str">
        <f t="shared" si="4"/>
        <v/>
      </c>
      <c r="N65" s="44" t="str">
        <f t="shared" si="5"/>
        <v/>
      </c>
      <c r="O65" s="44" t="str" cm="1">
        <f t="array" ref="O65">IF(E65="","",_xlfn._xlws.FILTER(#REF!,(#REF!=E65)*(#REF!=$R$4)*(#REF!=$Q$8)))</f>
        <v/>
      </c>
      <c r="P65" s="44" t="str">
        <f>IF(E65="","",VLOOKUP(E65,Calculations!$E$21:$P$98,12,0))</f>
        <v/>
      </c>
      <c r="Q65" s="44" t="str">
        <f>IF(E65="","",IF(VLOOKUP(E65,Calculations!$E$22:$U$1048576,17,0)="YES",ROUNDUP((H65*8%),0),0))</f>
        <v/>
      </c>
      <c r="R65" s="44" t="str" cm="1">
        <f t="array" ref="R65">IF(E65="","",(N65/30)*(_xlfn._xlws.FILTER(#REF!,(#REF!=E65)*(#REF!=$R$4)*(#REF!=$Q$8))+_xlfn._xlws.FILTER(#REF!,(#REF!=E65)*(#REF!=$R$4)*(#REF!=$Q$8))))</f>
        <v/>
      </c>
      <c r="S65" s="44" t="str" cm="1">
        <f t="array" ref="S65">IF(E65="","",ROUNDUP((N65/30)*(_xlfn._xlws.FILTER(#REF!,(#REF!=E65)*(#REF!=$R$4)*(#REF!=$Q$8))),0))</f>
        <v/>
      </c>
      <c r="T65" s="44" t="str">
        <f t="shared" si="6"/>
        <v/>
      </c>
      <c r="U65" s="44" t="str">
        <f t="shared" si="7"/>
        <v/>
      </c>
    </row>
    <row r="66" spans="5:21" x14ac:dyDescent="0.25">
      <c r="E66" s="44"/>
      <c r="F66" s="44" t="str">
        <f>IF(E66="","",IF(VLOOKUP(E66,Employees!A:L,2,0)="","",VLOOKUP(E66,Employees!A:L,2,0)))</f>
        <v/>
      </c>
      <c r="G66" s="44" t="str">
        <f>IF(E66="","",VLOOKUP(F66,Employees!B:M,2,0))</f>
        <v/>
      </c>
      <c r="H66" s="44" t="str">
        <f>IFERROR(ROUNDUP(IF(E66="","",((VLOOKUP(E66,Employees!A:L,12,0)-5000)*66.6666/100)),0),"")</f>
        <v/>
      </c>
      <c r="I66" s="44" t="str">
        <f t="shared" si="0"/>
        <v/>
      </c>
      <c r="J66" s="44" t="str">
        <f t="shared" si="1"/>
        <v/>
      </c>
      <c r="K66" s="44" t="str">
        <f t="shared" si="2"/>
        <v/>
      </c>
      <c r="L66" s="44" t="str">
        <f t="shared" si="3"/>
        <v/>
      </c>
      <c r="M66" s="44" t="str">
        <f t="shared" si="4"/>
        <v/>
      </c>
      <c r="N66" s="44" t="str">
        <f t="shared" si="5"/>
        <v/>
      </c>
      <c r="O66" s="44" t="str" cm="1">
        <f t="array" ref="O66">IF(E66="","",_xlfn._xlws.FILTER(#REF!,(#REF!=E66)*(#REF!=$R$4)*(#REF!=$Q$8)))</f>
        <v/>
      </c>
      <c r="P66" s="44" t="str">
        <f>IF(E66="","",VLOOKUP(E66,Calculations!$E$21:$P$98,12,0))</f>
        <v/>
      </c>
      <c r="Q66" s="44" t="str">
        <f>IF(E66="","",IF(VLOOKUP(E66,Calculations!$E$22:$U$1048576,17,0)="YES",ROUNDUP((H66*8%),0),0))</f>
        <v/>
      </c>
      <c r="R66" s="44" t="str" cm="1">
        <f t="array" ref="R66">IF(E66="","",(N66/30)*(_xlfn._xlws.FILTER(#REF!,(#REF!=E66)*(#REF!=$R$4)*(#REF!=$Q$8))+_xlfn._xlws.FILTER(#REF!,(#REF!=E66)*(#REF!=$R$4)*(#REF!=$Q$8))))</f>
        <v/>
      </c>
      <c r="S66" s="44" t="str" cm="1">
        <f t="array" ref="S66">IF(E66="","",ROUNDUP((N66/30)*(_xlfn._xlws.FILTER(#REF!,(#REF!=E66)*(#REF!=$R$4)*(#REF!=$Q$8))),0))</f>
        <v/>
      </c>
      <c r="T66" s="44" t="str">
        <f t="shared" si="6"/>
        <v/>
      </c>
      <c r="U66" s="44" t="str">
        <f t="shared" si="7"/>
        <v/>
      </c>
    </row>
    <row r="67" spans="5:21" x14ac:dyDescent="0.25">
      <c r="E67" s="44"/>
      <c r="F67" s="44" t="str">
        <f>IF(E67="","",IF(VLOOKUP(E67,Employees!A:L,2,0)="","",VLOOKUP(E67,Employees!A:L,2,0)))</f>
        <v/>
      </c>
      <c r="G67" s="44" t="str">
        <f>IF(E67="","",VLOOKUP(F67,Employees!B:M,2,0))</f>
        <v/>
      </c>
      <c r="H67" s="44" t="str">
        <f>IFERROR(ROUNDUP(IF(E67="","",((VLOOKUP(E67,Employees!A:L,12,0)-5000)*66.6666/100)),0),"")</f>
        <v/>
      </c>
      <c r="I67" s="44" t="str">
        <f t="shared" si="0"/>
        <v/>
      </c>
      <c r="J67" s="44" t="str">
        <f t="shared" si="1"/>
        <v/>
      </c>
      <c r="K67" s="44" t="str">
        <f t="shared" si="2"/>
        <v/>
      </c>
      <c r="L67" s="44" t="str">
        <f t="shared" si="3"/>
        <v/>
      </c>
      <c r="M67" s="44" t="str">
        <f t="shared" si="4"/>
        <v/>
      </c>
      <c r="N67" s="44" t="str">
        <f t="shared" si="5"/>
        <v/>
      </c>
      <c r="O67" s="44" t="str" cm="1">
        <f t="array" ref="O67">IF(E67="","",_xlfn._xlws.FILTER(#REF!,(#REF!=E67)*(#REF!=$R$4)*(#REF!=$Q$8)))</f>
        <v/>
      </c>
      <c r="P67" s="44" t="str">
        <f>IF(E67="","",VLOOKUP(E67,Calculations!$E$21:$P$98,12,0))</f>
        <v/>
      </c>
      <c r="Q67" s="44" t="str">
        <f>IF(E67="","",IF(VLOOKUP(E67,Calculations!$E$22:$U$1048576,17,0)="YES",ROUNDUP((H67*8%),0),0))</f>
        <v/>
      </c>
      <c r="R67" s="44" t="str" cm="1">
        <f t="array" ref="R67">IF(E67="","",(N67/30)*(_xlfn._xlws.FILTER(#REF!,(#REF!=E67)*(#REF!=$R$4)*(#REF!=$Q$8))+_xlfn._xlws.FILTER(#REF!,(#REF!=E67)*(#REF!=$R$4)*(#REF!=$Q$8))))</f>
        <v/>
      </c>
      <c r="S67" s="44" t="str" cm="1">
        <f t="array" ref="S67">IF(E67="","",ROUNDUP((N67/30)*(_xlfn._xlws.FILTER(#REF!,(#REF!=E67)*(#REF!=$R$4)*(#REF!=$Q$8))),0))</f>
        <v/>
      </c>
      <c r="T67" s="44" t="str">
        <f t="shared" si="6"/>
        <v/>
      </c>
      <c r="U67" s="44" t="str">
        <f t="shared" si="7"/>
        <v/>
      </c>
    </row>
    <row r="68" spans="5:21" x14ac:dyDescent="0.25">
      <c r="E68" s="44"/>
      <c r="F68" s="44" t="str">
        <f>IF(E68="","",IF(VLOOKUP(E68,Employees!A:L,2,0)="","",VLOOKUP(E68,Employees!A:L,2,0)))</f>
        <v/>
      </c>
      <c r="G68" s="44" t="str">
        <f>IF(E68="","",VLOOKUP(F68,Employees!B:M,2,0))</f>
        <v/>
      </c>
      <c r="H68" s="44" t="str">
        <f>IFERROR(ROUNDUP(IF(E68="","",((VLOOKUP(E68,Employees!A:L,12,0)-5000)*66.6666/100)),0),"")</f>
        <v/>
      </c>
      <c r="I68" s="44" t="str">
        <f t="shared" si="0"/>
        <v/>
      </c>
      <c r="J68" s="44" t="str">
        <f t="shared" si="1"/>
        <v/>
      </c>
      <c r="K68" s="44" t="str">
        <f t="shared" si="2"/>
        <v/>
      </c>
      <c r="L68" s="44" t="str">
        <f t="shared" si="3"/>
        <v/>
      </c>
      <c r="M68" s="44" t="str">
        <f t="shared" si="4"/>
        <v/>
      </c>
      <c r="N68" s="44" t="str">
        <f t="shared" si="5"/>
        <v/>
      </c>
      <c r="O68" s="44" t="str" cm="1">
        <f t="array" ref="O68">IF(E68="","",_xlfn._xlws.FILTER(#REF!,(#REF!=E68)*(#REF!=$R$4)*(#REF!=$Q$8)))</f>
        <v/>
      </c>
      <c r="P68" s="44" t="str">
        <f>IF(E68="","",VLOOKUP(E68,Calculations!$E$21:$P$98,12,0))</f>
        <v/>
      </c>
      <c r="Q68" s="44" t="str">
        <f>IF(E68="","",IF(VLOOKUP(E68,Calculations!$E$22:$U$1048576,17,0)="YES",ROUNDUP((H68*8%),0),0))</f>
        <v/>
      </c>
      <c r="R68" s="44" t="str" cm="1">
        <f t="array" ref="R68">IF(E68="","",(N68/30)*(_xlfn._xlws.FILTER(#REF!,(#REF!=E68)*(#REF!=$R$4)*(#REF!=$Q$8))+_xlfn._xlws.FILTER(#REF!,(#REF!=E68)*(#REF!=$R$4)*(#REF!=$Q$8))))</f>
        <v/>
      </c>
      <c r="S68" s="44" t="str" cm="1">
        <f t="array" ref="S68">IF(E68="","",ROUNDUP((N68/30)*(_xlfn._xlws.FILTER(#REF!,(#REF!=E68)*(#REF!=$R$4)*(#REF!=$Q$8))),0))</f>
        <v/>
      </c>
      <c r="T68" s="44" t="str">
        <f t="shared" si="6"/>
        <v/>
      </c>
      <c r="U68" s="44" t="str">
        <f t="shared" si="7"/>
        <v/>
      </c>
    </row>
    <row r="69" spans="5:21" x14ac:dyDescent="0.25">
      <c r="E69" s="44"/>
      <c r="F69" s="44" t="str">
        <f>IF(E69="","",IF(VLOOKUP(E69,Employees!A:L,2,0)="","",VLOOKUP(E69,Employees!A:L,2,0)))</f>
        <v/>
      </c>
      <c r="G69" s="44" t="str">
        <f>IF(E69="","",VLOOKUP(F69,Employees!B:M,2,0))</f>
        <v/>
      </c>
      <c r="H69" s="44" t="str">
        <f>IFERROR(ROUNDUP(IF(E69="","",((VLOOKUP(E69,Employees!A:L,12,0)-5000)*66.6666/100)),0),"")</f>
        <v/>
      </c>
      <c r="I69" s="44" t="str">
        <f t="shared" si="0"/>
        <v/>
      </c>
      <c r="J69" s="44" t="str">
        <f t="shared" si="1"/>
        <v/>
      </c>
      <c r="K69" s="44" t="str">
        <f t="shared" si="2"/>
        <v/>
      </c>
      <c r="L69" s="44" t="str">
        <f t="shared" si="3"/>
        <v/>
      </c>
      <c r="M69" s="44" t="str">
        <f t="shared" si="4"/>
        <v/>
      </c>
      <c r="N69" s="44" t="str">
        <f t="shared" si="5"/>
        <v/>
      </c>
      <c r="O69" s="44" t="str" cm="1">
        <f t="array" ref="O69">IF(E69="","",_xlfn._xlws.FILTER(#REF!,(#REF!=E69)*(#REF!=$R$4)*(#REF!=$Q$8)))</f>
        <v/>
      </c>
      <c r="P69" s="44" t="str">
        <f>IF(E69="","",VLOOKUP(E69,Calculations!$E$21:$P$98,12,0))</f>
        <v/>
      </c>
      <c r="Q69" s="44" t="str">
        <f>IF(E69="","",IF(VLOOKUP(E69,Calculations!$E$22:$U$1048576,17,0)="YES",ROUNDUP((H69*8%),0),0))</f>
        <v/>
      </c>
      <c r="R69" s="44" t="str" cm="1">
        <f t="array" ref="R69">IF(E69="","",(N69/30)*(_xlfn._xlws.FILTER(#REF!,(#REF!=E69)*(#REF!=$R$4)*(#REF!=$Q$8))+_xlfn._xlws.FILTER(#REF!,(#REF!=E69)*(#REF!=$R$4)*(#REF!=$Q$8))))</f>
        <v/>
      </c>
      <c r="S69" s="44" t="str" cm="1">
        <f t="array" ref="S69">IF(E69="","",ROUNDUP((N69/30)*(_xlfn._xlws.FILTER(#REF!,(#REF!=E69)*(#REF!=$R$4)*(#REF!=$Q$8))),0))</f>
        <v/>
      </c>
      <c r="T69" s="44" t="str">
        <f t="shared" si="6"/>
        <v/>
      </c>
      <c r="U69" s="44" t="str">
        <f t="shared" si="7"/>
        <v/>
      </c>
    </row>
    <row r="70" spans="5:21" x14ac:dyDescent="0.25">
      <c r="E70" s="44"/>
      <c r="F70" s="44" t="str">
        <f>IF(E70="","",IF(VLOOKUP(E70,Employees!A:L,2,0)="","",VLOOKUP(E70,Employees!A:L,2,0)))</f>
        <v/>
      </c>
      <c r="G70" s="44" t="str">
        <f>IF(E70="","",VLOOKUP(F70,Employees!B:M,2,0))</f>
        <v/>
      </c>
      <c r="H70" s="44" t="str">
        <f>IFERROR(ROUNDUP(IF(E70="","",((VLOOKUP(E70,Employees!A:L,12,0)-5000)*66.6666/100)),0),"")</f>
        <v/>
      </c>
      <c r="I70" s="44" t="str">
        <f t="shared" si="0"/>
        <v/>
      </c>
      <c r="J70" s="44" t="str">
        <f t="shared" si="1"/>
        <v/>
      </c>
      <c r="K70" s="44" t="str">
        <f t="shared" si="2"/>
        <v/>
      </c>
      <c r="L70" s="44" t="str">
        <f t="shared" si="3"/>
        <v/>
      </c>
      <c r="M70" s="44" t="str">
        <f t="shared" si="4"/>
        <v/>
      </c>
      <c r="N70" s="44" t="str">
        <f t="shared" si="5"/>
        <v/>
      </c>
      <c r="O70" s="44" t="str" cm="1">
        <f t="array" ref="O70">IF(E70="","",_xlfn._xlws.FILTER(#REF!,(#REF!=E70)*(#REF!=$R$4)*(#REF!=$Q$8)))</f>
        <v/>
      </c>
      <c r="P70" s="44" t="str">
        <f>IF(E70="","",VLOOKUP(E70,Calculations!$E$21:$P$98,12,0))</f>
        <v/>
      </c>
      <c r="Q70" s="44" t="str">
        <f>IF(E70="","",IF(VLOOKUP(E70,Calculations!$E$22:$U$1048576,17,0)="YES",ROUNDUP((H70*8%),0),0))</f>
        <v/>
      </c>
      <c r="R70" s="44" t="str" cm="1">
        <f t="array" ref="R70">IF(E70="","",(N70/30)*(_xlfn._xlws.FILTER(#REF!,(#REF!=E70)*(#REF!=$R$4)*(#REF!=$Q$8))+_xlfn._xlws.FILTER(#REF!,(#REF!=E70)*(#REF!=$R$4)*(#REF!=$Q$8))))</f>
        <v/>
      </c>
      <c r="S70" s="44" t="str" cm="1">
        <f t="array" ref="S70">IF(E70="","",ROUNDUP((N70/30)*(_xlfn._xlws.FILTER(#REF!,(#REF!=E70)*(#REF!=$R$4)*(#REF!=$Q$8))),0))</f>
        <v/>
      </c>
      <c r="T70" s="44" t="str">
        <f t="shared" si="6"/>
        <v/>
      </c>
      <c r="U70" s="44" t="str">
        <f t="shared" si="7"/>
        <v/>
      </c>
    </row>
    <row r="71" spans="5:21" x14ac:dyDescent="0.25">
      <c r="E71" s="44"/>
      <c r="F71" s="44" t="str">
        <f>IF(E71="","",IF(VLOOKUP(E71,Employees!A:L,2,0)="","",VLOOKUP(E71,Employees!A:L,2,0)))</f>
        <v/>
      </c>
      <c r="G71" s="44" t="str">
        <f>IF(E71="","",VLOOKUP(F71,Employees!B:M,2,0))</f>
        <v/>
      </c>
      <c r="H71" s="44" t="str">
        <f>IFERROR(ROUNDUP(IF(E71="","",((VLOOKUP(E71,Employees!A:L,12,0)-5000)*66.6666/100)),0),"")</f>
        <v/>
      </c>
      <c r="I71" s="44" t="str">
        <f t="shared" si="0"/>
        <v/>
      </c>
      <c r="J71" s="44" t="str">
        <f t="shared" si="1"/>
        <v/>
      </c>
      <c r="K71" s="44" t="str">
        <f t="shared" si="2"/>
        <v/>
      </c>
      <c r="L71" s="44" t="str">
        <f t="shared" si="3"/>
        <v/>
      </c>
      <c r="M71" s="44" t="str">
        <f t="shared" si="4"/>
        <v/>
      </c>
      <c r="N71" s="44" t="str">
        <f t="shared" si="5"/>
        <v/>
      </c>
      <c r="O71" s="44" t="str" cm="1">
        <f t="array" ref="O71">IF(E71="","",_xlfn._xlws.FILTER(#REF!,(#REF!=E71)*(#REF!=$R$4)*(#REF!=$Q$8)))</f>
        <v/>
      </c>
      <c r="P71" s="44" t="str">
        <f>IF(E71="","",VLOOKUP(E71,Calculations!$E$21:$P$98,12,0))</f>
        <v/>
      </c>
      <c r="Q71" s="44" t="str">
        <f>IF(E71="","",IF(VLOOKUP(E71,Calculations!$E$22:$U$1048576,17,0)="YES",ROUNDUP((H71*8%),0),0))</f>
        <v/>
      </c>
      <c r="R71" s="44" t="str" cm="1">
        <f t="array" ref="R71">IF(E71="","",(N71/30)*(_xlfn._xlws.FILTER(#REF!,(#REF!=E71)*(#REF!=$R$4)*(#REF!=$Q$8))+_xlfn._xlws.FILTER(#REF!,(#REF!=E71)*(#REF!=$R$4)*(#REF!=$Q$8))))</f>
        <v/>
      </c>
      <c r="S71" s="44" t="str" cm="1">
        <f t="array" ref="S71">IF(E71="","",ROUNDUP((N71/30)*(_xlfn._xlws.FILTER(#REF!,(#REF!=E71)*(#REF!=$R$4)*(#REF!=$Q$8))),0))</f>
        <v/>
      </c>
      <c r="T71" s="44" t="str">
        <f t="shared" si="6"/>
        <v/>
      </c>
      <c r="U71" s="44" t="str">
        <f t="shared" si="7"/>
        <v/>
      </c>
    </row>
    <row r="72" spans="5:21" x14ac:dyDescent="0.25">
      <c r="E72" s="44"/>
      <c r="F72" s="44" t="str">
        <f>IF(E72="","",IF(VLOOKUP(E72,Employees!A:L,2,0)="","",VLOOKUP(E72,Employees!A:L,2,0)))</f>
        <v/>
      </c>
      <c r="G72" s="44" t="str">
        <f>IF(E72="","",VLOOKUP(F72,Employees!B:M,2,0))</f>
        <v/>
      </c>
      <c r="H72" s="44" t="str">
        <f>IFERROR(ROUNDUP(IF(E72="","",((VLOOKUP(E72,Employees!A:L,12,0)-5000)*66.6666/100)),0),"")</f>
        <v/>
      </c>
      <c r="I72" s="44" t="str">
        <f t="shared" si="0"/>
        <v/>
      </c>
      <c r="J72" s="44" t="str">
        <f t="shared" si="1"/>
        <v/>
      </c>
      <c r="K72" s="44" t="str">
        <f t="shared" si="2"/>
        <v/>
      </c>
      <c r="L72" s="44" t="str">
        <f t="shared" si="3"/>
        <v/>
      </c>
      <c r="M72" s="44" t="str">
        <f t="shared" si="4"/>
        <v/>
      </c>
      <c r="N72" s="44" t="str">
        <f t="shared" si="5"/>
        <v/>
      </c>
      <c r="O72" s="44" t="str" cm="1">
        <f t="array" ref="O72">IF(E72="","",_xlfn._xlws.FILTER(#REF!,(#REF!=E72)*(#REF!=$R$4)*(#REF!=$Q$8)))</f>
        <v/>
      </c>
      <c r="P72" s="44" t="str">
        <f>IF(E72="","",VLOOKUP(E72,Calculations!$E$21:$P$98,12,0))</f>
        <v/>
      </c>
      <c r="Q72" s="44" t="str">
        <f>IF(E72="","",IF(VLOOKUP(E72,Calculations!$E$22:$U$1048576,17,0)="YES",ROUNDUP((H72*8%),0),0))</f>
        <v/>
      </c>
      <c r="R72" s="44" t="str" cm="1">
        <f t="array" ref="R72">IF(E72="","",(N72/30)*(_xlfn._xlws.FILTER(#REF!,(#REF!=E72)*(#REF!=$R$4)*(#REF!=$Q$8))+_xlfn._xlws.FILTER(#REF!,(#REF!=E72)*(#REF!=$R$4)*(#REF!=$Q$8))))</f>
        <v/>
      </c>
      <c r="S72" s="44" t="str" cm="1">
        <f t="array" ref="S72">IF(E72="","",ROUNDUP((N72/30)*(_xlfn._xlws.FILTER(#REF!,(#REF!=E72)*(#REF!=$R$4)*(#REF!=$Q$8))),0))</f>
        <v/>
      </c>
      <c r="T72" s="44" t="str">
        <f t="shared" si="6"/>
        <v/>
      </c>
      <c r="U72" s="44" t="str">
        <f t="shared" si="7"/>
        <v/>
      </c>
    </row>
    <row r="73" spans="5:21" x14ac:dyDescent="0.25">
      <c r="E73" s="44"/>
      <c r="F73" s="44" t="str">
        <f>IF(E73="","",IF(VLOOKUP(E73,Employees!A:L,2,0)="","",VLOOKUP(E73,Employees!A:L,2,0)))</f>
        <v/>
      </c>
      <c r="G73" s="44" t="str">
        <f>IF(E73="","",VLOOKUP(F73,Employees!B:M,2,0))</f>
        <v/>
      </c>
      <c r="H73" s="44" t="str">
        <f>IFERROR(ROUNDUP(IF(E73="","",((VLOOKUP(E73,Employees!A:L,12,0)-5000)*66.6666/100)),0),"")</f>
        <v/>
      </c>
      <c r="I73" s="44" t="str">
        <f t="shared" si="0"/>
        <v/>
      </c>
      <c r="J73" s="44" t="str">
        <f t="shared" si="1"/>
        <v/>
      </c>
      <c r="K73" s="44" t="str">
        <f t="shared" si="2"/>
        <v/>
      </c>
      <c r="L73" s="44" t="str">
        <f t="shared" si="3"/>
        <v/>
      </c>
      <c r="M73" s="44" t="str">
        <f t="shared" si="4"/>
        <v/>
      </c>
      <c r="N73" s="44" t="str">
        <f t="shared" si="5"/>
        <v/>
      </c>
      <c r="O73" s="44" t="str" cm="1">
        <f t="array" ref="O73">IF(E73="","",_xlfn._xlws.FILTER(#REF!,(#REF!=E73)*(#REF!=$R$4)*(#REF!=$Q$8)))</f>
        <v/>
      </c>
      <c r="P73" s="44" t="str">
        <f>IF(E73="","",VLOOKUP(E73,Calculations!$E$21:$P$98,12,0))</f>
        <v/>
      </c>
      <c r="Q73" s="44" t="str">
        <f>IF(E73="","",IF(VLOOKUP(E73,Calculations!$E$22:$U$1048576,17,0)="YES",ROUNDUP((H73*8%),0),0))</f>
        <v/>
      </c>
      <c r="R73" s="44" t="str" cm="1">
        <f t="array" ref="R73">IF(E73="","",(N73/30)*(_xlfn._xlws.FILTER(#REF!,(#REF!=E73)*(#REF!=$R$4)*(#REF!=$Q$8))+_xlfn._xlws.FILTER(#REF!,(#REF!=E73)*(#REF!=$R$4)*(#REF!=$Q$8))))</f>
        <v/>
      </c>
      <c r="S73" s="44" t="str" cm="1">
        <f t="array" ref="S73">IF(E73="","",ROUNDUP((N73/30)*(_xlfn._xlws.FILTER(#REF!,(#REF!=E73)*(#REF!=$R$4)*(#REF!=$Q$8))),0))</f>
        <v/>
      </c>
      <c r="T73" s="44" t="str">
        <f t="shared" si="6"/>
        <v/>
      </c>
      <c r="U73" s="44" t="str">
        <f t="shared" si="7"/>
        <v/>
      </c>
    </row>
    <row r="74" spans="5:21" x14ac:dyDescent="0.25">
      <c r="E74" s="44"/>
      <c r="F74" s="44" t="str">
        <f>IF(E74="","",IF(VLOOKUP(E74,Employees!A:L,2,0)="","",VLOOKUP(E74,Employees!A:L,2,0)))</f>
        <v/>
      </c>
      <c r="G74" s="44" t="str">
        <f>IF(E74="","",VLOOKUP(F74,Employees!B:M,2,0))</f>
        <v/>
      </c>
      <c r="H74" s="44" t="str">
        <f>IFERROR(ROUNDUP(IF(E74="","",((VLOOKUP(E74,Employees!A:L,12,0)-5000)*66.6666/100)),0),"")</f>
        <v/>
      </c>
      <c r="I74" s="44" t="str">
        <f t="shared" si="0"/>
        <v/>
      </c>
      <c r="J74" s="44" t="str">
        <f t="shared" si="1"/>
        <v/>
      </c>
      <c r="K74" s="44" t="str">
        <f t="shared" si="2"/>
        <v/>
      </c>
      <c r="L74" s="44" t="str">
        <f t="shared" si="3"/>
        <v/>
      </c>
      <c r="M74" s="44" t="str">
        <f t="shared" si="4"/>
        <v/>
      </c>
      <c r="N74" s="44" t="str">
        <f t="shared" si="5"/>
        <v/>
      </c>
      <c r="O74" s="44" t="str" cm="1">
        <f t="array" ref="O74">IF(E74="","",_xlfn._xlws.FILTER(#REF!,(#REF!=E74)*(#REF!=$R$4)*(#REF!=$Q$8)))</f>
        <v/>
      </c>
      <c r="P74" s="44" t="str">
        <f>IF(E74="","",VLOOKUP(E74,Calculations!$E$21:$P$98,12,0))</f>
        <v/>
      </c>
      <c r="Q74" s="44" t="str">
        <f>IF(E74="","",IF(VLOOKUP(E74,Calculations!$E$22:$U$1048576,17,0)="YES",ROUNDUP((H74*8%),0),0))</f>
        <v/>
      </c>
      <c r="R74" s="44" t="str" cm="1">
        <f t="array" ref="R74">IF(E74="","",(N74/30)*(_xlfn._xlws.FILTER(#REF!,(#REF!=E74)*(#REF!=$R$4)*(#REF!=$Q$8))+_xlfn._xlws.FILTER(#REF!,(#REF!=E74)*(#REF!=$R$4)*(#REF!=$Q$8))))</f>
        <v/>
      </c>
      <c r="S74" s="44" t="str" cm="1">
        <f t="array" ref="S74">IF(E74="","",ROUNDUP((N74/30)*(_xlfn._xlws.FILTER(#REF!,(#REF!=E74)*(#REF!=$R$4)*(#REF!=$Q$8))),0))</f>
        <v/>
      </c>
      <c r="T74" s="44" t="str">
        <f t="shared" si="6"/>
        <v/>
      </c>
      <c r="U74" s="44" t="str">
        <f t="shared" si="7"/>
        <v/>
      </c>
    </row>
    <row r="75" spans="5:21" x14ac:dyDescent="0.25">
      <c r="E75" s="44"/>
      <c r="F75" s="44" t="str">
        <f>IF(E75="","",IF(VLOOKUP(E75,Employees!A:L,2,0)="","",VLOOKUP(E75,Employees!A:L,2,0)))</f>
        <v/>
      </c>
      <c r="G75" s="44" t="str">
        <f>IF(E75="","",VLOOKUP(F75,Employees!B:M,2,0))</f>
        <v/>
      </c>
      <c r="H75" s="44" t="str">
        <f>IFERROR(ROUNDUP(IF(E75="","",((VLOOKUP(E75,Employees!A:L,12,0)-5000)*66.6666/100)),0),"")</f>
        <v/>
      </c>
      <c r="I75" s="44" t="str">
        <f t="shared" si="0"/>
        <v/>
      </c>
      <c r="J75" s="44" t="str">
        <f t="shared" si="1"/>
        <v/>
      </c>
      <c r="K75" s="44" t="str">
        <f t="shared" si="2"/>
        <v/>
      </c>
      <c r="L75" s="44" t="str">
        <f t="shared" si="3"/>
        <v/>
      </c>
      <c r="M75" s="44" t="str">
        <f t="shared" si="4"/>
        <v/>
      </c>
      <c r="N75" s="44" t="str">
        <f t="shared" si="5"/>
        <v/>
      </c>
      <c r="O75" s="44" t="str" cm="1">
        <f t="array" ref="O75">IF(E75="","",_xlfn._xlws.FILTER(#REF!,(#REF!=E75)*(#REF!=$R$4)*(#REF!=$Q$8)))</f>
        <v/>
      </c>
      <c r="P75" s="44" t="str">
        <f>IF(E75="","",VLOOKUP(E75,Calculations!$E$21:$P$98,12,0))</f>
        <v/>
      </c>
      <c r="Q75" s="44" t="str">
        <f>IF(E75="","",IF(VLOOKUP(E75,Calculations!$E$22:$U$1048576,17,0)="YES",ROUNDUP((H75*8%),0),0))</f>
        <v/>
      </c>
      <c r="R75" s="44" t="str" cm="1">
        <f t="array" ref="R75">IF(E75="","",(N75/30)*(_xlfn._xlws.FILTER(#REF!,(#REF!=E75)*(#REF!=$R$4)*(#REF!=$Q$8))+_xlfn._xlws.FILTER(#REF!,(#REF!=E75)*(#REF!=$R$4)*(#REF!=$Q$8))))</f>
        <v/>
      </c>
      <c r="S75" s="44" t="str" cm="1">
        <f t="array" ref="S75">IF(E75="","",ROUNDUP((N75/30)*(_xlfn._xlws.FILTER(#REF!,(#REF!=E75)*(#REF!=$R$4)*(#REF!=$Q$8))),0))</f>
        <v/>
      </c>
      <c r="T75" s="44" t="str">
        <f t="shared" si="6"/>
        <v/>
      </c>
      <c r="U75" s="44" t="str">
        <f t="shared" si="7"/>
        <v/>
      </c>
    </row>
    <row r="76" spans="5:21" x14ac:dyDescent="0.25">
      <c r="E76" s="44"/>
      <c r="F76" s="44" t="str">
        <f>IF(E76="","",IF(VLOOKUP(E76,Employees!A:L,2,0)="","",VLOOKUP(E76,Employees!A:L,2,0)))</f>
        <v/>
      </c>
      <c r="G76" s="44" t="str">
        <f>IF(E76="","",VLOOKUP(F76,Employees!B:M,2,0))</f>
        <v/>
      </c>
      <c r="H76" s="44" t="str">
        <f>IFERROR(ROUNDUP(IF(E76="","",((VLOOKUP(E76,Employees!A:L,12,0)-5000)*66.6666/100)),0),"")</f>
        <v/>
      </c>
      <c r="I76" s="44" t="str">
        <f t="shared" si="0"/>
        <v/>
      </c>
      <c r="J76" s="44" t="str">
        <f t="shared" si="1"/>
        <v/>
      </c>
      <c r="K76" s="44" t="str">
        <f t="shared" si="2"/>
        <v/>
      </c>
      <c r="L76" s="44" t="str">
        <f t="shared" si="3"/>
        <v/>
      </c>
      <c r="M76" s="44" t="str">
        <f t="shared" si="4"/>
        <v/>
      </c>
      <c r="N76" s="44" t="str">
        <f t="shared" si="5"/>
        <v/>
      </c>
      <c r="O76" s="44" t="str" cm="1">
        <f t="array" ref="O76">IF(E76="","",_xlfn._xlws.FILTER(#REF!,(#REF!=E76)*(#REF!=$R$4)*(#REF!=$Q$8)))</f>
        <v/>
      </c>
      <c r="P76" s="44" t="str">
        <f>IF(E76="","",VLOOKUP(E76,Calculations!$E$21:$P$98,12,0))</f>
        <v/>
      </c>
      <c r="Q76" s="44" t="str">
        <f>IF(E76="","",IF(VLOOKUP(E76,Calculations!$E$22:$U$1048576,17,0)="YES",ROUNDUP((H76*8%),0),0))</f>
        <v/>
      </c>
      <c r="R76" s="44" t="str" cm="1">
        <f t="array" ref="R76">IF(E76="","",(N76/30)*(_xlfn._xlws.FILTER(#REF!,(#REF!=E76)*(#REF!=$R$4)*(#REF!=$Q$8))+_xlfn._xlws.FILTER(#REF!,(#REF!=E76)*(#REF!=$R$4)*(#REF!=$Q$8))))</f>
        <v/>
      </c>
      <c r="S76" s="44" t="str" cm="1">
        <f t="array" ref="S76">IF(E76="","",ROUNDUP((N76/30)*(_xlfn._xlws.FILTER(#REF!,(#REF!=E76)*(#REF!=$R$4)*(#REF!=$Q$8))),0))</f>
        <v/>
      </c>
      <c r="T76" s="44" t="str">
        <f t="shared" si="6"/>
        <v/>
      </c>
      <c r="U76" s="44" t="str">
        <f t="shared" si="7"/>
        <v/>
      </c>
    </row>
    <row r="77" spans="5:21" x14ac:dyDescent="0.25">
      <c r="E77" s="44"/>
      <c r="F77" s="44" t="str">
        <f>IF(E77="","",IF(VLOOKUP(E77,Employees!A:L,2,0)="","",VLOOKUP(E77,Employees!A:L,2,0)))</f>
        <v/>
      </c>
      <c r="G77" s="44" t="str">
        <f>IF(E77="","",VLOOKUP(F77,Employees!B:M,2,0))</f>
        <v/>
      </c>
      <c r="H77" s="44" t="str">
        <f>IFERROR(ROUNDUP(IF(E77="","",((VLOOKUP(E77,Employees!A:L,12,0)-5000)*66.6666/100)),0),"")</f>
        <v/>
      </c>
      <c r="I77" s="44" t="str">
        <f t="shared" si="0"/>
        <v/>
      </c>
      <c r="J77" s="44" t="str">
        <f t="shared" si="1"/>
        <v/>
      </c>
      <c r="K77" s="44" t="str">
        <f t="shared" si="2"/>
        <v/>
      </c>
      <c r="L77" s="44" t="str">
        <f t="shared" si="3"/>
        <v/>
      </c>
      <c r="M77" s="44" t="str">
        <f t="shared" si="4"/>
        <v/>
      </c>
      <c r="N77" s="44" t="str">
        <f t="shared" si="5"/>
        <v/>
      </c>
      <c r="O77" s="44" t="str" cm="1">
        <f t="array" ref="O77">IF(E77="","",_xlfn._xlws.FILTER(#REF!,(#REF!=E77)*(#REF!=$R$4)*(#REF!=$Q$8)))</f>
        <v/>
      </c>
      <c r="P77" s="44" t="str">
        <f>IF(E77="","",VLOOKUP(E77,Calculations!$E$21:$P$98,12,0))</f>
        <v/>
      </c>
      <c r="Q77" s="44" t="str">
        <f>IF(E77="","",IF(VLOOKUP(E77,Calculations!$E$22:$U$1048576,17,0)="YES",ROUNDUP((H77*8%),0),0))</f>
        <v/>
      </c>
      <c r="R77" s="44" t="str" cm="1">
        <f t="array" ref="R77">IF(E77="","",(N77/30)*(_xlfn._xlws.FILTER(#REF!,(#REF!=E77)*(#REF!=$R$4)*(#REF!=$Q$8))+_xlfn._xlws.FILTER(#REF!,(#REF!=E77)*(#REF!=$R$4)*(#REF!=$Q$8))))</f>
        <v/>
      </c>
      <c r="S77" s="44" t="str" cm="1">
        <f t="array" ref="S77">IF(E77="","",ROUNDUP((N77/30)*(_xlfn._xlws.FILTER(#REF!,(#REF!=E77)*(#REF!=$R$4)*(#REF!=$Q$8))),0))</f>
        <v/>
      </c>
      <c r="T77" s="44" t="str">
        <f t="shared" si="6"/>
        <v/>
      </c>
      <c r="U77" s="44" t="str">
        <f t="shared" si="7"/>
        <v/>
      </c>
    </row>
    <row r="78" spans="5:21" x14ac:dyDescent="0.25">
      <c r="E78" s="44"/>
      <c r="F78" s="44" t="str">
        <f>IF(E78="","",IF(VLOOKUP(E78,Employees!A:L,2,0)="","",VLOOKUP(E78,Employees!A:L,2,0)))</f>
        <v/>
      </c>
      <c r="G78" s="44" t="str">
        <f>IF(E78="","",VLOOKUP(F78,Employees!B:M,2,0))</f>
        <v/>
      </c>
      <c r="H78" s="44" t="str">
        <f>IFERROR(ROUNDUP(IF(E78="","",((VLOOKUP(E78,Employees!A:L,12,0)-5000)*66.6666/100)),0),"")</f>
        <v/>
      </c>
      <c r="I78" s="44" t="str">
        <f t="shared" ref="I78:I123" si="8">IFERROR(ROUNDDOWN(IF($E78="","",0.1*$H78),0),"")</f>
        <v/>
      </c>
      <c r="J78" s="44" t="str">
        <f t="shared" ref="J78:J123" si="9">IFERROR(IF($E78="","",5000),"")</f>
        <v/>
      </c>
      <c r="K78" s="44" t="str">
        <f t="shared" ref="K78:K123" si="10">IFERROR(ROUNDDOWN(IF($E78="","",0.3*$H78),0),"")</f>
        <v/>
      </c>
      <c r="L78" s="44" t="str">
        <f t="shared" ref="L78:L123" si="11">IFERROR(ROUND(IF($E78="","",0.1*$H78),0),"")</f>
        <v/>
      </c>
      <c r="M78" s="44" t="str">
        <f t="shared" ref="M78:M141" si="12">IF($E78="","",0)</f>
        <v/>
      </c>
      <c r="N78" s="44" t="str">
        <f t="shared" ref="N78:N123" si="13">IF(E78="","",SUM(H78:M78))</f>
        <v/>
      </c>
      <c r="O78" s="44" t="str" cm="1">
        <f t="array" ref="O78">IF(E78="","",_xlfn._xlws.FILTER(#REF!,(#REF!=E78)*(#REF!=$R$4)*(#REF!=$Q$8)))</f>
        <v/>
      </c>
      <c r="P78" s="44" t="str">
        <f>IF(E78="","",VLOOKUP(E78,Calculations!$E$21:$P$98,12,0))</f>
        <v/>
      </c>
      <c r="Q78" s="44" t="str">
        <f>IF(E78="","",IF(VLOOKUP(E78,Calculations!$E$22:$U$1048576,17,0)="YES",ROUNDUP((H78*8%),0),0))</f>
        <v/>
      </c>
      <c r="R78" s="44" t="str" cm="1">
        <f t="array" ref="R78">IF(E78="","",(N78/30)*(_xlfn._xlws.FILTER(#REF!,(#REF!=E78)*(#REF!=$R$4)*(#REF!=$Q$8))+_xlfn._xlws.FILTER(#REF!,(#REF!=E78)*(#REF!=$R$4)*(#REF!=$Q$8))))</f>
        <v/>
      </c>
      <c r="S78" s="44" t="str" cm="1">
        <f t="array" ref="S78">IF(E78="","",ROUNDUP((N78/30)*(_xlfn._xlws.FILTER(#REF!,(#REF!=E78)*(#REF!=$R$4)*(#REF!=$Q$8))),0))</f>
        <v/>
      </c>
      <c r="T78" s="44" t="str">
        <f t="shared" ref="T78:T123" si="14">IF(E78="","",ROUNDUP(SUM(P78:S78),0))</f>
        <v/>
      </c>
      <c r="U78" s="44" t="str">
        <f t="shared" ref="U78:U123" si="15">IF(E78="","",N78-T78)</f>
        <v/>
      </c>
    </row>
    <row r="79" spans="5:21" x14ac:dyDescent="0.25">
      <c r="E79" s="44"/>
      <c r="F79" s="44" t="str">
        <f>IF(E79="","",IF(VLOOKUP(E79,Employees!A:L,2,0)="","",VLOOKUP(E79,Employees!A:L,2,0)))</f>
        <v/>
      </c>
      <c r="G79" s="44" t="str">
        <f>IF(E79="","",VLOOKUP(F79,Employees!B:M,2,0))</f>
        <v/>
      </c>
      <c r="H79" s="44" t="str">
        <f>IFERROR(ROUNDUP(IF(E79="","",((VLOOKUP(E79,Employees!A:L,12,0)-5000)*66.6666/100)),0),"")</f>
        <v/>
      </c>
      <c r="I79" s="44" t="str">
        <f t="shared" si="8"/>
        <v/>
      </c>
      <c r="J79" s="44" t="str">
        <f t="shared" si="9"/>
        <v/>
      </c>
      <c r="K79" s="44" t="str">
        <f t="shared" si="10"/>
        <v/>
      </c>
      <c r="L79" s="44" t="str">
        <f t="shared" si="11"/>
        <v/>
      </c>
      <c r="M79" s="44" t="str">
        <f t="shared" si="12"/>
        <v/>
      </c>
      <c r="N79" s="44" t="str">
        <f t="shared" si="13"/>
        <v/>
      </c>
      <c r="O79" s="44" t="str" cm="1">
        <f t="array" ref="O79">IF(E79="","",_xlfn._xlws.FILTER(#REF!,(#REF!=E79)*(#REF!=$R$4)*(#REF!=$Q$8)))</f>
        <v/>
      </c>
      <c r="P79" s="44" t="str">
        <f>IF(E79="","",VLOOKUP(E79,Calculations!$E$21:$P$98,12,0))</f>
        <v/>
      </c>
      <c r="Q79" s="44" t="str">
        <f>IF(E79="","",IF(VLOOKUP(E79,Calculations!$E$22:$U$1048576,17,0)="YES",ROUNDUP((H79*8%),0),0))</f>
        <v/>
      </c>
      <c r="R79" s="44" t="str" cm="1">
        <f t="array" ref="R79">IF(E79="","",(N79/30)*(_xlfn._xlws.FILTER(#REF!,(#REF!=E79)*(#REF!=$R$4)*(#REF!=$Q$8))+_xlfn._xlws.FILTER(#REF!,(#REF!=E79)*(#REF!=$R$4)*(#REF!=$Q$8))))</f>
        <v/>
      </c>
      <c r="S79" s="44" t="str" cm="1">
        <f t="array" ref="S79">IF(E79="","",ROUNDUP((N79/30)*(_xlfn._xlws.FILTER(#REF!,(#REF!=E79)*(#REF!=$R$4)*(#REF!=$Q$8))),0))</f>
        <v/>
      </c>
      <c r="T79" s="44" t="str">
        <f t="shared" si="14"/>
        <v/>
      </c>
      <c r="U79" s="44" t="str">
        <f t="shared" si="15"/>
        <v/>
      </c>
    </row>
    <row r="80" spans="5:21" x14ac:dyDescent="0.25">
      <c r="E80" s="44"/>
      <c r="F80" s="44" t="str">
        <f>IF(E80="","",IF(VLOOKUP(E80,Employees!A:L,2,0)="","",VLOOKUP(E80,Employees!A:L,2,0)))</f>
        <v/>
      </c>
      <c r="G80" s="44" t="str">
        <f>IF(E80="","",VLOOKUP(F80,Employees!B:M,2,0))</f>
        <v/>
      </c>
      <c r="H80" s="44" t="str">
        <f>IFERROR(ROUNDUP(IF(E80="","",((VLOOKUP(E80,Employees!A:L,12,0)-5000)*66.6666/100)),0),"")</f>
        <v/>
      </c>
      <c r="I80" s="44" t="str">
        <f t="shared" si="8"/>
        <v/>
      </c>
      <c r="J80" s="44" t="str">
        <f t="shared" si="9"/>
        <v/>
      </c>
      <c r="K80" s="44" t="str">
        <f t="shared" si="10"/>
        <v/>
      </c>
      <c r="L80" s="44" t="str">
        <f t="shared" si="11"/>
        <v/>
      </c>
      <c r="M80" s="44" t="str">
        <f t="shared" si="12"/>
        <v/>
      </c>
      <c r="N80" s="44" t="str">
        <f t="shared" si="13"/>
        <v/>
      </c>
      <c r="O80" s="44" t="str" cm="1">
        <f t="array" ref="O80">IF(E80="","",_xlfn._xlws.FILTER(#REF!,(#REF!=E80)*(#REF!=$R$4)*(#REF!=$Q$8)))</f>
        <v/>
      </c>
      <c r="P80" s="44" t="str">
        <f>IF(E80="","",VLOOKUP(E80,Calculations!$E$21:$P$98,12,0))</f>
        <v/>
      </c>
      <c r="Q80" s="44" t="str">
        <f>IF(E80="","",IF(VLOOKUP(E80,Calculations!$E$22:$U$1048576,17,0)="YES",ROUNDUP((H80*8%),0),0))</f>
        <v/>
      </c>
      <c r="R80" s="44" t="str" cm="1">
        <f t="array" ref="R80">IF(E80="","",(N80/30)*(_xlfn._xlws.FILTER(#REF!,(#REF!=E80)*(#REF!=$R$4)*(#REF!=$Q$8))+_xlfn._xlws.FILTER(#REF!,(#REF!=E80)*(#REF!=$R$4)*(#REF!=$Q$8))))</f>
        <v/>
      </c>
      <c r="S80" s="44" t="str" cm="1">
        <f t="array" ref="S80">IF(E80="","",ROUNDUP((N80/30)*(_xlfn._xlws.FILTER(#REF!,(#REF!=E80)*(#REF!=$R$4)*(#REF!=$Q$8))),0))</f>
        <v/>
      </c>
      <c r="T80" s="44" t="str">
        <f t="shared" si="14"/>
        <v/>
      </c>
      <c r="U80" s="44" t="str">
        <f t="shared" si="15"/>
        <v/>
      </c>
    </row>
    <row r="81" spans="5:21" x14ac:dyDescent="0.25">
      <c r="E81" s="44"/>
      <c r="F81" s="44" t="str">
        <f>IF(E81="","",IF(VLOOKUP(E81,Employees!A:L,2,0)="","",VLOOKUP(E81,Employees!A:L,2,0)))</f>
        <v/>
      </c>
      <c r="G81" s="44" t="str">
        <f>IF(E81="","",VLOOKUP(F81,Employees!B:M,2,0))</f>
        <v/>
      </c>
      <c r="H81" t="str">
        <f>IFERROR(ROUNDUP(IF(E81="","",((VLOOKUP(E81,Employees!A:L,12,0)-5000)*66.6666/100)),0),"")</f>
        <v/>
      </c>
      <c r="I81" t="str">
        <f t="shared" si="8"/>
        <v/>
      </c>
      <c r="J81" t="str">
        <f t="shared" si="9"/>
        <v/>
      </c>
      <c r="K81" t="str">
        <f t="shared" si="10"/>
        <v/>
      </c>
      <c r="L81" t="str">
        <f t="shared" si="11"/>
        <v/>
      </c>
      <c r="M81" s="44" t="str">
        <f t="shared" si="12"/>
        <v/>
      </c>
      <c r="N81" t="str">
        <f t="shared" si="13"/>
        <v/>
      </c>
      <c r="O81" t="str" cm="1">
        <f t="array" ref="O81">IF(E81="","",_xlfn._xlws.FILTER(#REF!,(#REF!=E81)*(#REF!=$R$4)*(#REF!=$Q$8)))</f>
        <v/>
      </c>
      <c r="P81" t="str">
        <f>IF(E81="","",VLOOKUP(E81,Calculations!$E$21:$P$98,12,0))</f>
        <v/>
      </c>
      <c r="Q81" s="44" t="str">
        <f>IF(E81="","",IF(VLOOKUP(E81,Calculations!$E$22:$U$1048576,17,0)="YES",ROUNDUP((H81*8%),0),0))</f>
        <v/>
      </c>
      <c r="R81" t="str" cm="1">
        <f t="array" ref="R81">IF(E81="","",(N81/30)*(_xlfn._xlws.FILTER(#REF!,(#REF!=E81)*(#REF!=$R$4)*(#REF!=$Q$8))+_xlfn._xlws.FILTER(#REF!,(#REF!=E81)*(#REF!=$R$4)*(#REF!=$Q$8))))</f>
        <v/>
      </c>
      <c r="S81" t="str" cm="1">
        <f t="array" ref="S81">IF(E81="","",ROUNDUP((N81/30)*(_xlfn._xlws.FILTER(#REF!,(#REF!=E81)*(#REF!=$R$4)*(#REF!=$Q$8))),0))</f>
        <v/>
      </c>
      <c r="T81" t="str">
        <f t="shared" si="14"/>
        <v/>
      </c>
      <c r="U81" s="45" t="str">
        <f t="shared" si="15"/>
        <v/>
      </c>
    </row>
    <row r="82" spans="5:21" x14ac:dyDescent="0.25">
      <c r="E82" s="44"/>
      <c r="F82" s="44" t="str">
        <f>IF(E82="","",IF(VLOOKUP(E82,Employees!A:L,2,0)="","",VLOOKUP(E82,Employees!A:L,2,0)))</f>
        <v/>
      </c>
      <c r="G82" s="44" t="str">
        <f>IF(E82="","",VLOOKUP(F82,Employees!B:M,2,0))</f>
        <v/>
      </c>
      <c r="H82" t="str">
        <f>IFERROR(ROUNDUP(IF(E82="","",((VLOOKUP(E82,Employees!A:L,12,0)-5000)*66.6666/100)),0),"")</f>
        <v/>
      </c>
      <c r="I82" t="str">
        <f t="shared" si="8"/>
        <v/>
      </c>
      <c r="J82" t="str">
        <f t="shared" si="9"/>
        <v/>
      </c>
      <c r="K82" t="str">
        <f t="shared" si="10"/>
        <v/>
      </c>
      <c r="L82" t="str">
        <f t="shared" si="11"/>
        <v/>
      </c>
      <c r="M82" s="44" t="str">
        <f t="shared" si="12"/>
        <v/>
      </c>
      <c r="N82" t="str">
        <f t="shared" si="13"/>
        <v/>
      </c>
      <c r="O82" t="str" cm="1">
        <f t="array" ref="O82">IF(E82="","",_xlfn._xlws.FILTER(#REF!,(#REF!=E82)*(#REF!=$R$4)*(#REF!=$Q$8)))</f>
        <v/>
      </c>
      <c r="P82" t="str">
        <f>IF(E82="","",VLOOKUP(E82,Calculations!$E$21:$P$98,12,0))</f>
        <v/>
      </c>
      <c r="Q82" s="44" t="str">
        <f>IF(E82="","",IF(VLOOKUP(E82,Calculations!$E$22:$U$1048576,17,0)="YES",ROUNDUP((H82*8%),0),0))</f>
        <v/>
      </c>
      <c r="R82" t="str" cm="1">
        <f t="array" ref="R82">IF(E82="","",(N82/30)*(_xlfn._xlws.FILTER(#REF!,(#REF!=E82)*(#REF!=$R$4)*(#REF!=$Q$8))+_xlfn._xlws.FILTER(#REF!,(#REF!=E82)*(#REF!=$R$4)*(#REF!=$Q$8))))</f>
        <v/>
      </c>
      <c r="S82" t="str" cm="1">
        <f t="array" ref="S82">IF(E82="","",ROUNDUP((N82/30)*(_xlfn._xlws.FILTER(#REF!,(#REF!=E82)*(#REF!=$R$4)*(#REF!=$Q$8))),0))</f>
        <v/>
      </c>
      <c r="T82" t="str">
        <f t="shared" si="14"/>
        <v/>
      </c>
      <c r="U82" s="45" t="str">
        <f t="shared" si="15"/>
        <v/>
      </c>
    </row>
    <row r="83" spans="5:21" x14ac:dyDescent="0.25">
      <c r="E83" s="44"/>
      <c r="F83" s="44" t="str">
        <f>IF(E83="","",IF(VLOOKUP(E83,Employees!A:L,2,0)="","",VLOOKUP(E83,Employees!A:L,2,0)))</f>
        <v/>
      </c>
      <c r="G83" s="44" t="str">
        <f>IF(E83="","",VLOOKUP(F83,Employees!B:M,2,0))</f>
        <v/>
      </c>
      <c r="H83" t="str">
        <f>IFERROR(ROUNDUP(IF(E83="","",((VLOOKUP(E83,Employees!A:L,12,0)-5000)*66.6666/100)),0),"")</f>
        <v/>
      </c>
      <c r="I83" t="str">
        <f t="shared" si="8"/>
        <v/>
      </c>
      <c r="J83" t="str">
        <f t="shared" si="9"/>
        <v/>
      </c>
      <c r="K83" t="str">
        <f t="shared" si="10"/>
        <v/>
      </c>
      <c r="L83" t="str">
        <f t="shared" si="11"/>
        <v/>
      </c>
      <c r="M83" s="44" t="str">
        <f t="shared" si="12"/>
        <v/>
      </c>
      <c r="N83" t="str">
        <f t="shared" si="13"/>
        <v/>
      </c>
      <c r="O83" t="str" cm="1">
        <f t="array" ref="O83">IF(E83="","",_xlfn._xlws.FILTER(#REF!,(#REF!=E83)*(#REF!=$R$4)*(#REF!=$Q$8)))</f>
        <v/>
      </c>
      <c r="P83" t="str">
        <f>IF(E83="","",VLOOKUP(E83,Calculations!$E$21:$P$98,12,0))</f>
        <v/>
      </c>
      <c r="Q83" s="44" t="str">
        <f>IF(E83="","",IF(VLOOKUP(E83,Calculations!$E$22:$U$1048576,17,0)="YES",ROUNDUP((H83*8%),0),0))</f>
        <v/>
      </c>
      <c r="R83" t="str" cm="1">
        <f t="array" ref="R83">IF(E83="","",(N83/30)*(_xlfn._xlws.FILTER(#REF!,(#REF!=E83)*(#REF!=$R$4)*(#REF!=$Q$8))+_xlfn._xlws.FILTER(#REF!,(#REF!=E83)*(#REF!=$R$4)*(#REF!=$Q$8))))</f>
        <v/>
      </c>
      <c r="S83" t="str" cm="1">
        <f t="array" ref="S83">IF(E83="","",ROUNDUP((N83/30)*(_xlfn._xlws.FILTER(#REF!,(#REF!=E83)*(#REF!=$R$4)*(#REF!=$Q$8))),0))</f>
        <v/>
      </c>
      <c r="T83" t="str">
        <f t="shared" si="14"/>
        <v/>
      </c>
      <c r="U83" s="45" t="str">
        <f t="shared" si="15"/>
        <v/>
      </c>
    </row>
    <row r="84" spans="5:21" x14ac:dyDescent="0.25">
      <c r="E84" s="44"/>
      <c r="F84" s="44" t="str">
        <f>IF(E84="","",IF(VLOOKUP(E84,Employees!A:L,2,0)="","",VLOOKUP(E84,Employees!A:L,2,0)))</f>
        <v/>
      </c>
      <c r="G84" s="44" t="str">
        <f>IF(E84="","",VLOOKUP(F84,Employees!B:M,2,0))</f>
        <v/>
      </c>
      <c r="H84" t="str">
        <f>IFERROR(ROUNDUP(IF(E84="","",((VLOOKUP(E84,Employees!A:L,12,0)-5000)*66.6666/100)),0),"")</f>
        <v/>
      </c>
      <c r="I84" t="str">
        <f t="shared" si="8"/>
        <v/>
      </c>
      <c r="J84" t="str">
        <f t="shared" si="9"/>
        <v/>
      </c>
      <c r="K84" t="str">
        <f t="shared" si="10"/>
        <v/>
      </c>
      <c r="L84" t="str">
        <f t="shared" si="11"/>
        <v/>
      </c>
      <c r="M84" s="44" t="str">
        <f t="shared" si="12"/>
        <v/>
      </c>
      <c r="N84" t="str">
        <f t="shared" si="13"/>
        <v/>
      </c>
      <c r="O84" t="str" cm="1">
        <f t="array" ref="O84">IF(E84="","",_xlfn._xlws.FILTER(#REF!,(#REF!=E84)*(#REF!=$R$4)*(#REF!=$Q$8)))</f>
        <v/>
      </c>
      <c r="P84" t="str">
        <f>IF(E84="","",VLOOKUP(E84,Calculations!$E$21:$P$98,12,0))</f>
        <v/>
      </c>
      <c r="Q84" s="44" t="str">
        <f>IF(E84="","",IF(VLOOKUP(E84,Calculations!$E$22:$U$1048576,17,0)="YES",ROUNDUP((H84*8%),0),0))</f>
        <v/>
      </c>
      <c r="R84" t="str" cm="1">
        <f t="array" ref="R84">IF(E84="","",(N84/30)*(_xlfn._xlws.FILTER(#REF!,(#REF!=E84)*(#REF!=$R$4)*(#REF!=$Q$8))+_xlfn._xlws.FILTER(#REF!,(#REF!=E84)*(#REF!=$R$4)*(#REF!=$Q$8))))</f>
        <v/>
      </c>
      <c r="S84" t="str" cm="1">
        <f t="array" ref="S84">IF(E84="","",ROUNDUP((N84/30)*(_xlfn._xlws.FILTER(#REF!,(#REF!=E84)*(#REF!=$R$4)*(#REF!=$Q$8))),0))</f>
        <v/>
      </c>
      <c r="T84" t="str">
        <f t="shared" si="14"/>
        <v/>
      </c>
      <c r="U84" s="45" t="str">
        <f t="shared" si="15"/>
        <v/>
      </c>
    </row>
    <row r="85" spans="5:21" x14ac:dyDescent="0.25">
      <c r="E85" s="44"/>
      <c r="F85" s="44" t="str">
        <f>IF(E85="","",IF(VLOOKUP(E85,Employees!A:L,2,0)="","",VLOOKUP(E85,Employees!A:L,2,0)))</f>
        <v/>
      </c>
      <c r="G85" s="44" t="str">
        <f>IF(E85="","",VLOOKUP(F85,Employees!B:M,2,0))</f>
        <v/>
      </c>
      <c r="H85" t="str">
        <f>IFERROR(ROUNDUP(IF(E85="","",((VLOOKUP(E85,Employees!A:L,12,0)-5000)*66.6666/100)),0),"")</f>
        <v/>
      </c>
      <c r="I85" t="str">
        <f t="shared" si="8"/>
        <v/>
      </c>
      <c r="J85" t="str">
        <f t="shared" si="9"/>
        <v/>
      </c>
      <c r="K85" t="str">
        <f t="shared" si="10"/>
        <v/>
      </c>
      <c r="L85" t="str">
        <f t="shared" si="11"/>
        <v/>
      </c>
      <c r="M85" s="44" t="str">
        <f t="shared" si="12"/>
        <v/>
      </c>
      <c r="N85" t="str">
        <f t="shared" si="13"/>
        <v/>
      </c>
      <c r="O85" t="str" cm="1">
        <f t="array" ref="O85">IF(E85="","",_xlfn._xlws.FILTER(#REF!,(#REF!=E85)*(#REF!=$R$4)*(#REF!=$Q$8)))</f>
        <v/>
      </c>
      <c r="P85" t="str">
        <f>IF(E85="","",VLOOKUP(E85,Calculations!$E$21:$P$98,12,0))</f>
        <v/>
      </c>
      <c r="Q85" s="44" t="str">
        <f>IF(E85="","",IF(VLOOKUP(E85,Calculations!$E$22:$U$1048576,17,0)="YES",ROUNDUP((H85*8%),0),0))</f>
        <v/>
      </c>
      <c r="R85" t="str" cm="1">
        <f t="array" ref="R85">IF(E85="","",(N85/30)*(_xlfn._xlws.FILTER(#REF!,(#REF!=E85)*(#REF!=$R$4)*(#REF!=$Q$8))+_xlfn._xlws.FILTER(#REF!,(#REF!=E85)*(#REF!=$R$4)*(#REF!=$Q$8))))</f>
        <v/>
      </c>
      <c r="S85" t="str" cm="1">
        <f t="array" ref="S85">IF(E85="","",ROUNDUP((N85/30)*(_xlfn._xlws.FILTER(#REF!,(#REF!=E85)*(#REF!=$R$4)*(#REF!=$Q$8))),0))</f>
        <v/>
      </c>
      <c r="T85" t="str">
        <f t="shared" si="14"/>
        <v/>
      </c>
      <c r="U85" s="45" t="str">
        <f t="shared" si="15"/>
        <v/>
      </c>
    </row>
    <row r="86" spans="5:21" x14ac:dyDescent="0.25">
      <c r="E86" s="44"/>
      <c r="F86" s="44" t="str">
        <f>IF(E86="","",IF(VLOOKUP(E86,Employees!A:L,2,0)="","",VLOOKUP(E86,Employees!A:L,2,0)))</f>
        <v/>
      </c>
      <c r="G86" s="44" t="str">
        <f>IF(E86="","",VLOOKUP(F86,Employees!B:M,2,0))</f>
        <v/>
      </c>
      <c r="H86" t="str">
        <f>IFERROR(ROUNDUP(IF(E86="","",((VLOOKUP(E86,Employees!A:L,12,0)-5000)*66.6666/100)),0),"")</f>
        <v/>
      </c>
      <c r="I86" t="str">
        <f t="shared" si="8"/>
        <v/>
      </c>
      <c r="J86" t="str">
        <f t="shared" si="9"/>
        <v/>
      </c>
      <c r="K86" t="str">
        <f t="shared" si="10"/>
        <v/>
      </c>
      <c r="L86" t="str">
        <f t="shared" si="11"/>
        <v/>
      </c>
      <c r="M86" s="44" t="str">
        <f t="shared" si="12"/>
        <v/>
      </c>
      <c r="N86" t="str">
        <f t="shared" si="13"/>
        <v/>
      </c>
      <c r="O86" t="str" cm="1">
        <f t="array" ref="O86">IF(E86="","",_xlfn._xlws.FILTER(#REF!,(#REF!=E86)*(#REF!=$R$4)*(#REF!=$Q$8)))</f>
        <v/>
      </c>
      <c r="P86" t="str">
        <f>IF(E86="","",VLOOKUP(E86,Calculations!$E$21:$P$98,12,0))</f>
        <v/>
      </c>
      <c r="Q86" s="44" t="str">
        <f>IF(E86="","",IF(VLOOKUP(E86,Calculations!$E$22:$U$1048576,17,0)="YES",ROUNDUP((H86*8%),0),0))</f>
        <v/>
      </c>
      <c r="R86" t="str" cm="1">
        <f t="array" ref="R86">IF(E86="","",(N86/30)*(_xlfn._xlws.FILTER(#REF!,(#REF!=E86)*(#REF!=$R$4)*(#REF!=$Q$8))+_xlfn._xlws.FILTER(#REF!,(#REF!=E86)*(#REF!=$R$4)*(#REF!=$Q$8))))</f>
        <v/>
      </c>
      <c r="S86" t="str" cm="1">
        <f t="array" ref="S86">IF(E86="","",ROUNDUP((N86/30)*(_xlfn._xlws.FILTER(#REF!,(#REF!=E86)*(#REF!=$R$4)*(#REF!=$Q$8))),0))</f>
        <v/>
      </c>
      <c r="T86" t="str">
        <f t="shared" si="14"/>
        <v/>
      </c>
      <c r="U86" s="45" t="str">
        <f t="shared" si="15"/>
        <v/>
      </c>
    </row>
    <row r="87" spans="5:21" x14ac:dyDescent="0.25">
      <c r="E87" s="44"/>
      <c r="F87" s="44" t="str">
        <f>IF(E87="","",IF(VLOOKUP(E87,Employees!A:L,2,0)="","",VLOOKUP(E87,Employees!A:L,2,0)))</f>
        <v/>
      </c>
      <c r="G87" s="44" t="str">
        <f>IF(E87="","",VLOOKUP(F87,Employees!B:M,2,0))</f>
        <v/>
      </c>
      <c r="H87" t="str">
        <f>IFERROR(ROUNDUP(IF(E87="","",((VLOOKUP(E87,Employees!A:L,12,0)-5000)*66.6666/100)),0),"")</f>
        <v/>
      </c>
      <c r="I87" t="str">
        <f t="shared" si="8"/>
        <v/>
      </c>
      <c r="J87" t="str">
        <f t="shared" si="9"/>
        <v/>
      </c>
      <c r="K87" t="str">
        <f t="shared" si="10"/>
        <v/>
      </c>
      <c r="L87" t="str">
        <f t="shared" si="11"/>
        <v/>
      </c>
      <c r="M87" s="44" t="str">
        <f t="shared" si="12"/>
        <v/>
      </c>
      <c r="N87" t="str">
        <f t="shared" si="13"/>
        <v/>
      </c>
      <c r="O87" t="str" cm="1">
        <f t="array" ref="O87">IF(E87="","",_xlfn._xlws.FILTER(#REF!,(#REF!=E87)*(#REF!=$R$4)*(#REF!=$Q$8)))</f>
        <v/>
      </c>
      <c r="P87" t="str">
        <f>IF(E87="","",VLOOKUP(E87,Calculations!$E$21:$P$98,12,0))</f>
        <v/>
      </c>
      <c r="Q87" s="44" t="str">
        <f>IF(E87="","",IF(VLOOKUP(E87,Calculations!$E$22:$U$1048576,17,0)="YES",ROUNDUP((H87*8%),0),0))</f>
        <v/>
      </c>
      <c r="R87" t="str" cm="1">
        <f t="array" ref="R87">IF(E87="","",(N87/30)*(_xlfn._xlws.FILTER(#REF!,(#REF!=E87)*(#REF!=$R$4)*(#REF!=$Q$8))+_xlfn._xlws.FILTER(#REF!,(#REF!=E87)*(#REF!=$R$4)*(#REF!=$Q$8))))</f>
        <v/>
      </c>
      <c r="S87" t="str" cm="1">
        <f t="array" ref="S87">IF(E87="","",ROUNDUP((N87/30)*(_xlfn._xlws.FILTER(#REF!,(#REF!=E87)*(#REF!=$R$4)*(#REF!=$Q$8))),0))</f>
        <v/>
      </c>
      <c r="T87" t="str">
        <f t="shared" si="14"/>
        <v/>
      </c>
      <c r="U87" s="45" t="str">
        <f t="shared" si="15"/>
        <v/>
      </c>
    </row>
    <row r="88" spans="5:21" x14ac:dyDescent="0.25">
      <c r="E88" s="44"/>
      <c r="F88" s="44" t="str">
        <f>IF(E88="","",IF(VLOOKUP(E88,Employees!A:L,2,0)="","",VLOOKUP(E88,Employees!A:L,2,0)))</f>
        <v/>
      </c>
      <c r="G88" s="44" t="str">
        <f>IF(E88="","",VLOOKUP(F88,Employees!B:M,2,0))</f>
        <v/>
      </c>
      <c r="H88" t="str">
        <f>IFERROR(ROUNDUP(IF(E88="","",((VLOOKUP(E88,Employees!A:L,12,0)-5000)*66.6666/100)),0),"")</f>
        <v/>
      </c>
      <c r="I88" t="str">
        <f t="shared" si="8"/>
        <v/>
      </c>
      <c r="J88" t="str">
        <f t="shared" si="9"/>
        <v/>
      </c>
      <c r="K88" t="str">
        <f t="shared" si="10"/>
        <v/>
      </c>
      <c r="L88" t="str">
        <f t="shared" si="11"/>
        <v/>
      </c>
      <c r="M88" s="44" t="str">
        <f t="shared" si="12"/>
        <v/>
      </c>
      <c r="N88" t="str">
        <f t="shared" si="13"/>
        <v/>
      </c>
      <c r="O88" t="str" cm="1">
        <f t="array" ref="O88">IF(E88="","",_xlfn._xlws.FILTER(#REF!,(#REF!=E88)*(#REF!=$R$4)*(#REF!=$Q$8)))</f>
        <v/>
      </c>
      <c r="P88" t="str">
        <f>IF(E88="","",VLOOKUP(E88,Calculations!$E$21:$P$98,12,0))</f>
        <v/>
      </c>
      <c r="Q88" s="44" t="str">
        <f>IF(E88="","",IF(VLOOKUP(E88,Calculations!$E$22:$U$1048576,17,0)="YES",ROUNDUP((H88*8%),0),0))</f>
        <v/>
      </c>
      <c r="R88" t="str" cm="1">
        <f t="array" ref="R88">IF(E88="","",(N88/30)*(_xlfn._xlws.FILTER(#REF!,(#REF!=E88)*(#REF!=$R$4)*(#REF!=$Q$8))+_xlfn._xlws.FILTER(#REF!,(#REF!=E88)*(#REF!=$R$4)*(#REF!=$Q$8))))</f>
        <v/>
      </c>
      <c r="S88" t="str" cm="1">
        <f t="array" ref="S88">IF(E88="","",ROUNDUP((N88/30)*(_xlfn._xlws.FILTER(#REF!,(#REF!=E88)*(#REF!=$R$4)*(#REF!=$Q$8))),0))</f>
        <v/>
      </c>
      <c r="T88" t="str">
        <f t="shared" si="14"/>
        <v/>
      </c>
      <c r="U88" s="45" t="str">
        <f t="shared" si="15"/>
        <v/>
      </c>
    </row>
    <row r="89" spans="5:21" x14ac:dyDescent="0.25">
      <c r="E89" s="44"/>
      <c r="F89" s="44" t="str">
        <f>IF(E89="","",IF(VLOOKUP(E89,Employees!A:L,2,0)="","",VLOOKUP(E89,Employees!A:L,2,0)))</f>
        <v/>
      </c>
      <c r="G89" s="44" t="str">
        <f>IF(E89="","",VLOOKUP(F89,Employees!B:M,2,0))</f>
        <v/>
      </c>
      <c r="H89" t="str">
        <f>IFERROR(ROUNDUP(IF(E89="","",((VLOOKUP(E89,Employees!A:L,12,0)-5000)*66.6666/100)),0),"")</f>
        <v/>
      </c>
      <c r="I89" t="str">
        <f t="shared" si="8"/>
        <v/>
      </c>
      <c r="J89" t="str">
        <f t="shared" si="9"/>
        <v/>
      </c>
      <c r="K89" t="str">
        <f t="shared" si="10"/>
        <v/>
      </c>
      <c r="L89" t="str">
        <f t="shared" si="11"/>
        <v/>
      </c>
      <c r="M89" s="44" t="str">
        <f t="shared" si="12"/>
        <v/>
      </c>
      <c r="N89" t="str">
        <f t="shared" si="13"/>
        <v/>
      </c>
      <c r="O89" t="str" cm="1">
        <f t="array" ref="O89">IF(E89="","",_xlfn._xlws.FILTER(#REF!,(#REF!=E89)*(#REF!=$R$4)*(#REF!=$Q$8)))</f>
        <v/>
      </c>
      <c r="P89" t="str">
        <f>IF(E89="","",VLOOKUP(E89,Calculations!$E$21:$P$98,12,0))</f>
        <v/>
      </c>
      <c r="Q89" s="44" t="str">
        <f>IF(E89="","",IF(VLOOKUP(E89,Calculations!$E$22:$U$1048576,17,0)="YES",ROUNDUP((H89*8%),0),0))</f>
        <v/>
      </c>
      <c r="R89" t="str" cm="1">
        <f t="array" ref="R89">IF(E89="","",(N89/30)*(_xlfn._xlws.FILTER(#REF!,(#REF!=E89)*(#REF!=$R$4)*(#REF!=$Q$8))+_xlfn._xlws.FILTER(#REF!,(#REF!=E89)*(#REF!=$R$4)*(#REF!=$Q$8))))</f>
        <v/>
      </c>
      <c r="S89" t="str" cm="1">
        <f t="array" ref="S89">IF(E89="","",ROUNDUP((N89/30)*(_xlfn._xlws.FILTER(#REF!,(#REF!=E89)*(#REF!=$R$4)*(#REF!=$Q$8))),0))</f>
        <v/>
      </c>
      <c r="T89" t="str">
        <f t="shared" si="14"/>
        <v/>
      </c>
      <c r="U89" s="45" t="str">
        <f t="shared" si="15"/>
        <v/>
      </c>
    </row>
    <row r="90" spans="5:21" x14ac:dyDescent="0.25">
      <c r="E90" s="44"/>
      <c r="F90" s="44" t="str">
        <f>IF(E90="","",IF(VLOOKUP(E90,Employees!A:L,2,0)="","",VLOOKUP(E90,Employees!A:L,2,0)))</f>
        <v/>
      </c>
      <c r="G90" s="44" t="str">
        <f>IF(E90="","",VLOOKUP(F90,Employees!B:M,2,0))</f>
        <v/>
      </c>
      <c r="H90" t="str">
        <f>IFERROR(ROUNDUP(IF(E90="","",((VLOOKUP(E90,Employees!A:L,12,0)-5000)*66.6666/100)),0),"")</f>
        <v/>
      </c>
      <c r="I90" t="str">
        <f t="shared" si="8"/>
        <v/>
      </c>
      <c r="J90" t="str">
        <f t="shared" si="9"/>
        <v/>
      </c>
      <c r="K90" t="str">
        <f t="shared" si="10"/>
        <v/>
      </c>
      <c r="L90" t="str">
        <f t="shared" si="11"/>
        <v/>
      </c>
      <c r="M90" s="44" t="str">
        <f t="shared" si="12"/>
        <v/>
      </c>
      <c r="N90" t="str">
        <f t="shared" si="13"/>
        <v/>
      </c>
      <c r="O90" t="str" cm="1">
        <f t="array" ref="O90">IF(E90="","",_xlfn._xlws.FILTER(#REF!,(#REF!=E90)*(#REF!=$R$4)*(#REF!=$Q$8)))</f>
        <v/>
      </c>
      <c r="P90" t="str">
        <f>IF(E90="","",VLOOKUP(E90,Calculations!$E$21:$P$98,12,0))</f>
        <v/>
      </c>
      <c r="Q90" s="44" t="str">
        <f>IF(E90="","",IF(VLOOKUP(E90,Calculations!$E$22:$U$1048576,17,0)="YES",ROUNDUP((H90*8%),0),0))</f>
        <v/>
      </c>
      <c r="R90" t="str" cm="1">
        <f t="array" ref="R90">IF(E90="","",(N90/30)*(_xlfn._xlws.FILTER(#REF!,(#REF!=E90)*(#REF!=$R$4)*(#REF!=$Q$8))+_xlfn._xlws.FILTER(#REF!,(#REF!=E90)*(#REF!=$R$4)*(#REF!=$Q$8))))</f>
        <v/>
      </c>
      <c r="S90" t="str" cm="1">
        <f t="array" ref="S90">IF(E90="","",ROUNDUP((N90/30)*(_xlfn._xlws.FILTER(#REF!,(#REF!=E90)*(#REF!=$R$4)*(#REF!=$Q$8))),0))</f>
        <v/>
      </c>
      <c r="T90" t="str">
        <f t="shared" si="14"/>
        <v/>
      </c>
      <c r="U90" s="45" t="str">
        <f t="shared" si="15"/>
        <v/>
      </c>
    </row>
    <row r="91" spans="5:21" x14ac:dyDescent="0.25">
      <c r="E91" s="44"/>
      <c r="F91" s="44" t="str">
        <f>IF(E91="","",IF(VLOOKUP(E91,Employees!A:L,2,0)="","",VLOOKUP(E91,Employees!A:L,2,0)))</f>
        <v/>
      </c>
      <c r="G91" s="44" t="str">
        <f>IF(E91="","",VLOOKUP(F91,Employees!B:M,2,0))</f>
        <v/>
      </c>
      <c r="H91" t="str">
        <f>IFERROR(ROUNDUP(IF(E91="","",((VLOOKUP(E91,Employees!A:L,12,0)-5000)*66.6666/100)),0),"")</f>
        <v/>
      </c>
      <c r="I91" t="str">
        <f t="shared" si="8"/>
        <v/>
      </c>
      <c r="J91" t="str">
        <f t="shared" si="9"/>
        <v/>
      </c>
      <c r="K91" t="str">
        <f t="shared" si="10"/>
        <v/>
      </c>
      <c r="L91" t="str">
        <f t="shared" si="11"/>
        <v/>
      </c>
      <c r="M91" s="44" t="str">
        <f t="shared" si="12"/>
        <v/>
      </c>
      <c r="N91" t="str">
        <f t="shared" si="13"/>
        <v/>
      </c>
      <c r="O91" t="str" cm="1">
        <f t="array" ref="O91">IF(E91="","",_xlfn._xlws.FILTER(#REF!,(#REF!=E91)*(#REF!=$R$4)*(#REF!=$Q$8)))</f>
        <v/>
      </c>
      <c r="P91" t="str">
        <f>IF(E91="","",VLOOKUP(E91,Calculations!$E$21:$P$98,12,0))</f>
        <v/>
      </c>
      <c r="Q91" s="44" t="str">
        <f>IF(E91="","",IF(VLOOKUP(E91,Calculations!$E$22:$U$1048576,17,0)="YES",ROUNDUP((H91*8%),0),0))</f>
        <v/>
      </c>
      <c r="R91" t="str" cm="1">
        <f t="array" ref="R91">IF(E91="","",(N91/30)*(_xlfn._xlws.FILTER(#REF!,(#REF!=E91)*(#REF!=$R$4)*(#REF!=$Q$8))+_xlfn._xlws.FILTER(#REF!,(#REF!=E91)*(#REF!=$R$4)*(#REF!=$Q$8))))</f>
        <v/>
      </c>
      <c r="S91" t="str" cm="1">
        <f t="array" ref="S91">IF(E91="","",ROUNDUP((N91/30)*(_xlfn._xlws.FILTER(#REF!,(#REF!=E91)*(#REF!=$R$4)*(#REF!=$Q$8))),0))</f>
        <v/>
      </c>
      <c r="T91" t="str">
        <f t="shared" si="14"/>
        <v/>
      </c>
      <c r="U91" s="45" t="str">
        <f t="shared" si="15"/>
        <v/>
      </c>
    </row>
    <row r="92" spans="5:21" x14ac:dyDescent="0.25">
      <c r="E92" s="44"/>
      <c r="F92" s="44" t="str">
        <f>IF(E92="","",IF(VLOOKUP(E92,Employees!A:L,2,0)="","",VLOOKUP(E92,Employees!A:L,2,0)))</f>
        <v/>
      </c>
      <c r="G92" s="44" t="str">
        <f>IF(E92="","",VLOOKUP(F92,Employees!B:M,2,0))</f>
        <v/>
      </c>
      <c r="H92" t="str">
        <f>IFERROR(ROUNDUP(IF(E92="","",((VLOOKUP(E92,Employees!A:L,12,0)-5000)*66.6666/100)),0),"")</f>
        <v/>
      </c>
      <c r="I92" t="str">
        <f t="shared" si="8"/>
        <v/>
      </c>
      <c r="J92" t="str">
        <f t="shared" si="9"/>
        <v/>
      </c>
      <c r="K92" t="str">
        <f t="shared" si="10"/>
        <v/>
      </c>
      <c r="L92" t="str">
        <f t="shared" si="11"/>
        <v/>
      </c>
      <c r="M92" s="44" t="str">
        <f t="shared" si="12"/>
        <v/>
      </c>
      <c r="N92" t="str">
        <f t="shared" si="13"/>
        <v/>
      </c>
      <c r="O92" t="str" cm="1">
        <f t="array" ref="O92">IF(E92="","",_xlfn._xlws.FILTER(#REF!,(#REF!=E92)*(#REF!=$R$4)*(#REF!=$Q$8)))</f>
        <v/>
      </c>
      <c r="P92" t="str">
        <f>IF(E92="","",VLOOKUP(E92,Calculations!$E$21:$P$98,12,0))</f>
        <v/>
      </c>
      <c r="Q92" s="44" t="str">
        <f>IF(E92="","",IF(VLOOKUP(E92,Calculations!$E$22:$U$1048576,17,0)="YES",ROUNDUP((H92*8%),0),0))</f>
        <v/>
      </c>
      <c r="R92" t="str" cm="1">
        <f t="array" ref="R92">IF(E92="","",(N92/30)*(_xlfn._xlws.FILTER(#REF!,(#REF!=E92)*(#REF!=$R$4)*(#REF!=$Q$8))+_xlfn._xlws.FILTER(#REF!,(#REF!=E92)*(#REF!=$R$4)*(#REF!=$Q$8))))</f>
        <v/>
      </c>
      <c r="S92" t="str" cm="1">
        <f t="array" ref="S92">IF(E92="","",ROUNDUP((N92/30)*(_xlfn._xlws.FILTER(#REF!,(#REF!=E92)*(#REF!=$R$4)*(#REF!=$Q$8))),0))</f>
        <v/>
      </c>
      <c r="T92" t="str">
        <f t="shared" si="14"/>
        <v/>
      </c>
      <c r="U92" s="45" t="str">
        <f t="shared" si="15"/>
        <v/>
      </c>
    </row>
    <row r="93" spans="5:21" x14ac:dyDescent="0.25">
      <c r="E93" s="44"/>
      <c r="F93" s="44" t="str">
        <f>IF(E93="","",IF(VLOOKUP(E93,Employees!A:L,2,0)="","",VLOOKUP(E93,Employees!A:L,2,0)))</f>
        <v/>
      </c>
      <c r="G93" s="44" t="str">
        <f>IF(E93="","",VLOOKUP(F93,Employees!B:M,2,0))</f>
        <v/>
      </c>
      <c r="H93" t="str">
        <f>IFERROR(ROUNDUP(IF(E93="","",((VLOOKUP(E93,Employees!A:L,12,0)-5000)*66.6666/100)),0),"")</f>
        <v/>
      </c>
      <c r="I93" t="str">
        <f t="shared" si="8"/>
        <v/>
      </c>
      <c r="J93" t="str">
        <f t="shared" si="9"/>
        <v/>
      </c>
      <c r="K93" t="str">
        <f t="shared" si="10"/>
        <v/>
      </c>
      <c r="L93" t="str">
        <f t="shared" si="11"/>
        <v/>
      </c>
      <c r="M93" s="44" t="str">
        <f t="shared" si="12"/>
        <v/>
      </c>
      <c r="N93" t="str">
        <f t="shared" si="13"/>
        <v/>
      </c>
      <c r="O93" t="str" cm="1">
        <f t="array" ref="O93">IF(E93="","",_xlfn._xlws.FILTER(#REF!,(#REF!=E93)*(#REF!=$R$4)*(#REF!=$Q$8)))</f>
        <v/>
      </c>
      <c r="P93" t="str">
        <f>IF(E93="","",VLOOKUP(E93,Calculations!$E$21:$P$98,12,0))</f>
        <v/>
      </c>
      <c r="Q93" s="44" t="str">
        <f>IF(E93="","",IF(VLOOKUP(E93,Calculations!$E$22:$U$1048576,17,0)="YES",ROUNDUP((H93*8%),0),0))</f>
        <v/>
      </c>
      <c r="R93" t="str" cm="1">
        <f t="array" ref="R93">IF(E93="","",(N93/30)*(_xlfn._xlws.FILTER(#REF!,(#REF!=E93)*(#REF!=$R$4)*(#REF!=$Q$8))+_xlfn._xlws.FILTER(#REF!,(#REF!=E93)*(#REF!=$R$4)*(#REF!=$Q$8))))</f>
        <v/>
      </c>
      <c r="S93" t="str" cm="1">
        <f t="array" ref="S93">IF(E93="","",ROUNDUP((N93/30)*(_xlfn._xlws.FILTER(#REF!,(#REF!=E93)*(#REF!=$R$4)*(#REF!=$Q$8))),0))</f>
        <v/>
      </c>
      <c r="T93" t="str">
        <f t="shared" si="14"/>
        <v/>
      </c>
      <c r="U93" s="45" t="str">
        <f t="shared" si="15"/>
        <v/>
      </c>
    </row>
    <row r="94" spans="5:21" x14ac:dyDescent="0.25">
      <c r="E94" s="44"/>
      <c r="F94" s="44" t="str">
        <f>IF(E94="","",IF(VLOOKUP(E94,Employees!A:L,2,0)="","",VLOOKUP(E94,Employees!A:L,2,0)))</f>
        <v/>
      </c>
      <c r="G94" s="44" t="str">
        <f>IF(E94="","",VLOOKUP(F94,Employees!B:M,2,0))</f>
        <v/>
      </c>
      <c r="H94" t="str">
        <f>IFERROR(ROUNDUP(IF(E94="","",((VLOOKUP(E94,Employees!A:L,12,0)-5000)*66.6666/100)),0),"")</f>
        <v/>
      </c>
      <c r="I94" t="str">
        <f t="shared" si="8"/>
        <v/>
      </c>
      <c r="J94" t="str">
        <f t="shared" si="9"/>
        <v/>
      </c>
      <c r="K94" t="str">
        <f t="shared" si="10"/>
        <v/>
      </c>
      <c r="L94" t="str">
        <f t="shared" si="11"/>
        <v/>
      </c>
      <c r="M94" s="44" t="str">
        <f t="shared" si="12"/>
        <v/>
      </c>
      <c r="N94" t="str">
        <f t="shared" si="13"/>
        <v/>
      </c>
      <c r="O94" t="str" cm="1">
        <f t="array" ref="O94">IF(E94="","",_xlfn._xlws.FILTER(#REF!,(#REF!=E94)*(#REF!=$R$4)*(#REF!=$Q$8)))</f>
        <v/>
      </c>
      <c r="P94" t="str">
        <f>IF(E94="","",VLOOKUP(E94,Calculations!$E$21:$P$98,12,0))</f>
        <v/>
      </c>
      <c r="Q94" s="44" t="str">
        <f>IF(E94="","",IF(VLOOKUP(E94,Calculations!$E$22:$U$1048576,17,0)="YES",ROUNDUP((H94*8%),0),0))</f>
        <v/>
      </c>
      <c r="R94" t="str" cm="1">
        <f t="array" ref="R94">IF(E94="","",(N94/30)*(_xlfn._xlws.FILTER(#REF!,(#REF!=E94)*(#REF!=$R$4)*(#REF!=$Q$8))+_xlfn._xlws.FILTER(#REF!,(#REF!=E94)*(#REF!=$R$4)*(#REF!=$Q$8))))</f>
        <v/>
      </c>
      <c r="S94" t="str" cm="1">
        <f t="array" ref="S94">IF(E94="","",ROUNDUP((N94/30)*(_xlfn._xlws.FILTER(#REF!,(#REF!=E94)*(#REF!=$R$4)*(#REF!=$Q$8))),0))</f>
        <v/>
      </c>
      <c r="T94" t="str">
        <f t="shared" si="14"/>
        <v/>
      </c>
      <c r="U94" s="45" t="str">
        <f t="shared" si="15"/>
        <v/>
      </c>
    </row>
    <row r="95" spans="5:21" x14ac:dyDescent="0.25">
      <c r="E95" s="44"/>
      <c r="F95" s="44" t="str">
        <f>IF(E95="","",IF(VLOOKUP(E95,Employees!A:L,2,0)="","",VLOOKUP(E95,Employees!A:L,2,0)))</f>
        <v/>
      </c>
      <c r="G95" s="44" t="str">
        <f>IF(E95="","",VLOOKUP(F95,Employees!B:M,2,0))</f>
        <v/>
      </c>
      <c r="H95" t="str">
        <f>IFERROR(ROUNDUP(IF(E95="","",((VLOOKUP(E95,Employees!A:L,12,0)-5000)*66.6666/100)),0),"")</f>
        <v/>
      </c>
      <c r="I95" t="str">
        <f t="shared" si="8"/>
        <v/>
      </c>
      <c r="J95" t="str">
        <f t="shared" si="9"/>
        <v/>
      </c>
      <c r="K95" t="str">
        <f t="shared" si="10"/>
        <v/>
      </c>
      <c r="L95" t="str">
        <f t="shared" si="11"/>
        <v/>
      </c>
      <c r="M95" s="44" t="str">
        <f t="shared" si="12"/>
        <v/>
      </c>
      <c r="N95" t="str">
        <f t="shared" si="13"/>
        <v/>
      </c>
      <c r="O95" t="str" cm="1">
        <f t="array" ref="O95">IF(E95="","",_xlfn._xlws.FILTER(#REF!,(#REF!=E95)*(#REF!=$R$4)*(#REF!=$Q$8)))</f>
        <v/>
      </c>
      <c r="P95" t="str">
        <f>IF(E95="","",VLOOKUP(E95,Calculations!$E$21:$P$98,12,0))</f>
        <v/>
      </c>
      <c r="Q95" s="44" t="str">
        <f>IF(E95="","",IF(VLOOKUP(E95,Calculations!$E$22:$U$1048576,17,0)="YES",ROUNDUP((H95*8%),0),0))</f>
        <v/>
      </c>
      <c r="R95" t="str" cm="1">
        <f t="array" ref="R95">IF(E95="","",(N95/30)*(_xlfn._xlws.FILTER(#REF!,(#REF!=E95)*(#REF!=$R$4)*(#REF!=$Q$8))+_xlfn._xlws.FILTER(#REF!,(#REF!=E95)*(#REF!=$R$4)*(#REF!=$Q$8))))</f>
        <v/>
      </c>
      <c r="S95" t="str" cm="1">
        <f t="array" ref="S95">IF(E95="","",ROUNDUP((N95/30)*(_xlfn._xlws.FILTER(#REF!,(#REF!=E95)*(#REF!=$R$4)*(#REF!=$Q$8))),0))</f>
        <v/>
      </c>
      <c r="T95" t="str">
        <f t="shared" si="14"/>
        <v/>
      </c>
      <c r="U95" s="45" t="str">
        <f t="shared" si="15"/>
        <v/>
      </c>
    </row>
    <row r="96" spans="5:21" x14ac:dyDescent="0.25">
      <c r="E96" s="44"/>
      <c r="F96" s="44" t="str">
        <f>IF(E96="","",IF(VLOOKUP(E96,Employees!A:L,2,0)="","",VLOOKUP(E96,Employees!A:L,2,0)))</f>
        <v/>
      </c>
      <c r="G96" s="44" t="str">
        <f>IF(E96="","",VLOOKUP(F96,Employees!B:M,2,0))</f>
        <v/>
      </c>
      <c r="H96" t="str">
        <f>IFERROR(ROUNDUP(IF(E96="","",((VLOOKUP(E96,Employees!A:L,12,0)-5000)*66.6666/100)),0),"")</f>
        <v/>
      </c>
      <c r="I96" t="str">
        <f t="shared" si="8"/>
        <v/>
      </c>
      <c r="J96" t="str">
        <f t="shared" si="9"/>
        <v/>
      </c>
      <c r="K96" t="str">
        <f t="shared" si="10"/>
        <v/>
      </c>
      <c r="L96" t="str">
        <f t="shared" si="11"/>
        <v/>
      </c>
      <c r="M96" s="44" t="str">
        <f t="shared" si="12"/>
        <v/>
      </c>
      <c r="N96" t="str">
        <f t="shared" si="13"/>
        <v/>
      </c>
      <c r="O96" t="str" cm="1">
        <f t="array" ref="O96">IF(E96="","",_xlfn._xlws.FILTER(#REF!,(#REF!=E96)*(#REF!=$R$4)*(#REF!=$Q$8)))</f>
        <v/>
      </c>
      <c r="P96" t="str">
        <f>IF(E96="","",VLOOKUP(E96,Calculations!$E$21:$P$98,12,0))</f>
        <v/>
      </c>
      <c r="Q96" s="44" t="str">
        <f>IF(E96="","",IF(VLOOKUP(E96,Calculations!$E$22:$U$1048576,17,0)="YES",ROUNDUP((H96*8%),0),0))</f>
        <v/>
      </c>
      <c r="R96" t="str" cm="1">
        <f t="array" ref="R96">IF(E96="","",(N96/30)*(_xlfn._xlws.FILTER(#REF!,(#REF!=E96)*(#REF!=$R$4)*(#REF!=$Q$8))+_xlfn._xlws.FILTER(#REF!,(#REF!=E96)*(#REF!=$R$4)*(#REF!=$Q$8))))</f>
        <v/>
      </c>
      <c r="S96" t="str" cm="1">
        <f t="array" ref="S96">IF(E96="","",ROUNDUP((N96/30)*(_xlfn._xlws.FILTER(#REF!,(#REF!=E96)*(#REF!=$R$4)*(#REF!=$Q$8))),0))</f>
        <v/>
      </c>
      <c r="T96" t="str">
        <f t="shared" si="14"/>
        <v/>
      </c>
      <c r="U96" s="45" t="str">
        <f t="shared" si="15"/>
        <v/>
      </c>
    </row>
    <row r="97" spans="5:21" x14ac:dyDescent="0.25">
      <c r="E97" s="44"/>
      <c r="F97" s="44" t="str">
        <f>IF(E97="","",IF(VLOOKUP(E97,Employees!A:L,2,0)="","",VLOOKUP(E97,Employees!A:L,2,0)))</f>
        <v/>
      </c>
      <c r="G97" s="44" t="str">
        <f>IF(E97="","",VLOOKUP(F97,Employees!B:M,2,0))</f>
        <v/>
      </c>
      <c r="H97" t="str">
        <f>IFERROR(ROUNDUP(IF(E97="","",((VLOOKUP(E97,Employees!A:L,12,0)-5000)*66.6666/100)),0),"")</f>
        <v/>
      </c>
      <c r="I97" t="str">
        <f t="shared" si="8"/>
        <v/>
      </c>
      <c r="J97" t="str">
        <f t="shared" si="9"/>
        <v/>
      </c>
      <c r="K97" t="str">
        <f t="shared" si="10"/>
        <v/>
      </c>
      <c r="L97" t="str">
        <f t="shared" si="11"/>
        <v/>
      </c>
      <c r="M97" s="44" t="str">
        <f t="shared" si="12"/>
        <v/>
      </c>
      <c r="N97" t="str">
        <f t="shared" si="13"/>
        <v/>
      </c>
      <c r="O97" t="str" cm="1">
        <f t="array" ref="O97">IF(E97="","",_xlfn._xlws.FILTER(#REF!,(#REF!=E97)*(#REF!=$R$4)*(#REF!=$Q$8)))</f>
        <v/>
      </c>
      <c r="P97" t="str">
        <f>IF(E97="","",VLOOKUP(E97,Calculations!$E$21:$P$98,12,0))</f>
        <v/>
      </c>
      <c r="Q97" s="44" t="str">
        <f>IF(E97="","",IF(VLOOKUP(E97,Calculations!$E$22:$U$1048576,17,0)="YES",ROUNDUP((H97*8%),0),0))</f>
        <v/>
      </c>
      <c r="R97" t="str" cm="1">
        <f t="array" ref="R97">IF(E97="","",(N97/30)*(_xlfn._xlws.FILTER(#REF!,(#REF!=E97)*(#REF!=$R$4)*(#REF!=$Q$8))+_xlfn._xlws.FILTER(#REF!,(#REF!=E97)*(#REF!=$R$4)*(#REF!=$Q$8))))</f>
        <v/>
      </c>
      <c r="S97" t="str" cm="1">
        <f t="array" ref="S97">IF(E97="","",ROUNDUP((N97/30)*(_xlfn._xlws.FILTER(#REF!,(#REF!=E97)*(#REF!=$R$4)*(#REF!=$Q$8))),0))</f>
        <v/>
      </c>
      <c r="T97" t="str">
        <f t="shared" si="14"/>
        <v/>
      </c>
      <c r="U97" s="45" t="str">
        <f t="shared" si="15"/>
        <v/>
      </c>
    </row>
    <row r="98" spans="5:21" x14ac:dyDescent="0.25">
      <c r="E98" s="44"/>
      <c r="F98" s="44" t="str">
        <f>IF(E98="","",IF(VLOOKUP(E98,Employees!A:L,2,0)="","",VLOOKUP(E98,Employees!A:L,2,0)))</f>
        <v/>
      </c>
      <c r="G98" s="44" t="str">
        <f>IF(E98="","",VLOOKUP(F98,Employees!B:M,2,0))</f>
        <v/>
      </c>
      <c r="H98" t="str">
        <f>IFERROR(ROUNDUP(IF(E98="","",((VLOOKUP(E98,Employees!A:L,12,0)-5000)*66.6666/100)),0),"")</f>
        <v/>
      </c>
      <c r="I98" t="str">
        <f t="shared" si="8"/>
        <v/>
      </c>
      <c r="J98" t="str">
        <f t="shared" si="9"/>
        <v/>
      </c>
      <c r="K98" t="str">
        <f t="shared" si="10"/>
        <v/>
      </c>
      <c r="L98" t="str">
        <f t="shared" si="11"/>
        <v/>
      </c>
      <c r="M98" s="44" t="str">
        <f t="shared" si="12"/>
        <v/>
      </c>
      <c r="N98" t="str">
        <f t="shared" si="13"/>
        <v/>
      </c>
      <c r="O98" t="str" cm="1">
        <f t="array" ref="O98">IF(E98="","",_xlfn._xlws.FILTER(#REF!,(#REF!=E98)*(#REF!=$R$4)*(#REF!=$Q$8)))</f>
        <v/>
      </c>
      <c r="P98" t="str">
        <f>IF(E98="","",VLOOKUP(E98,Calculations!$E$21:$P$98,12,0))</f>
        <v/>
      </c>
      <c r="Q98" s="44" t="str">
        <f>IF(E98="","",IF(VLOOKUP(E98,Calculations!$E$22:$U$1048576,17,0)="YES",ROUNDUP((H98*8%),0),0))</f>
        <v/>
      </c>
      <c r="R98" t="str" cm="1">
        <f t="array" ref="R98">IF(E98="","",(N98/30)*(_xlfn._xlws.FILTER(#REF!,(#REF!=E98)*(#REF!=$R$4)*(#REF!=$Q$8))+_xlfn._xlws.FILTER(#REF!,(#REF!=E98)*(#REF!=$R$4)*(#REF!=$Q$8))))</f>
        <v/>
      </c>
      <c r="S98" t="str" cm="1">
        <f t="array" ref="S98">IF(E98="","",ROUNDUP((N98/30)*(_xlfn._xlws.FILTER(#REF!,(#REF!=E98)*(#REF!=$R$4)*(#REF!=$Q$8))),0))</f>
        <v/>
      </c>
      <c r="T98" t="str">
        <f t="shared" si="14"/>
        <v/>
      </c>
      <c r="U98" s="45" t="str">
        <f t="shared" si="15"/>
        <v/>
      </c>
    </row>
    <row r="99" spans="5:21" x14ac:dyDescent="0.25">
      <c r="E99" s="44"/>
      <c r="F99" s="44" t="str">
        <f>IF(E99="","",IF(VLOOKUP(E99,Employees!A:L,2,0)="","",VLOOKUP(E99,Employees!A:L,2,0)))</f>
        <v/>
      </c>
      <c r="G99" s="44" t="str">
        <f>IF(E99="","",VLOOKUP(F99,Employees!B:M,2,0))</f>
        <v/>
      </c>
      <c r="H99" t="str">
        <f>IFERROR(ROUNDUP(IF(E99="","",((VLOOKUP(E99,Employees!A:L,12,0)-5000)*66.6666/100)),0),"")</f>
        <v/>
      </c>
      <c r="I99" t="str">
        <f t="shared" si="8"/>
        <v/>
      </c>
      <c r="J99" t="str">
        <f t="shared" si="9"/>
        <v/>
      </c>
      <c r="K99" t="str">
        <f t="shared" si="10"/>
        <v/>
      </c>
      <c r="L99" t="str">
        <f t="shared" si="11"/>
        <v/>
      </c>
      <c r="M99" s="44" t="str">
        <f t="shared" si="12"/>
        <v/>
      </c>
      <c r="N99" t="str">
        <f t="shared" si="13"/>
        <v/>
      </c>
      <c r="O99" t="str" cm="1">
        <f t="array" ref="O99">IF(E99="","",_xlfn._xlws.FILTER(#REF!,(#REF!=E99)*(#REF!=$R$4)*(#REF!=$Q$8)))</f>
        <v/>
      </c>
      <c r="P99" t="str">
        <f>IF(E99="","",VLOOKUP(E99,Calculations!$E$21:$P$98,12,0))</f>
        <v/>
      </c>
      <c r="Q99" s="44" t="str">
        <f>IF(E99="","",IF(VLOOKUP(E99,Calculations!$E$22:$U$1048576,17,0)="YES",ROUNDUP((H99*8%),0),0))</f>
        <v/>
      </c>
      <c r="R99" t="str" cm="1">
        <f t="array" ref="R99">IF(E99="","",(N99/30)*(_xlfn._xlws.FILTER(#REF!,(#REF!=E99)*(#REF!=$R$4)*(#REF!=$Q$8))+_xlfn._xlws.FILTER(#REF!,(#REF!=E99)*(#REF!=$R$4)*(#REF!=$Q$8))))</f>
        <v/>
      </c>
      <c r="S99" t="str" cm="1">
        <f t="array" ref="S99">IF(E99="","",ROUNDUP((N99/30)*(_xlfn._xlws.FILTER(#REF!,(#REF!=E99)*(#REF!=$R$4)*(#REF!=$Q$8))),0))</f>
        <v/>
      </c>
      <c r="T99" t="str">
        <f t="shared" si="14"/>
        <v/>
      </c>
      <c r="U99" s="45" t="str">
        <f t="shared" si="15"/>
        <v/>
      </c>
    </row>
    <row r="100" spans="5:21" x14ac:dyDescent="0.25">
      <c r="E100" s="44"/>
      <c r="F100" s="44" t="str">
        <f>IF(E100="","",IF(VLOOKUP(E100,Employees!A:L,2,0)="","",VLOOKUP(E100,Employees!A:L,2,0)))</f>
        <v/>
      </c>
      <c r="G100" s="44" t="str">
        <f>IF(E100="","",VLOOKUP(F100,Employees!B:M,2,0))</f>
        <v/>
      </c>
      <c r="H100" t="str">
        <f>IFERROR(ROUNDUP(IF(E100="","",((VLOOKUP(E100,Employees!A:L,12,0)-5000)*66.6666/100)),0),"")</f>
        <v/>
      </c>
      <c r="I100" t="str">
        <f t="shared" si="8"/>
        <v/>
      </c>
      <c r="J100" t="str">
        <f t="shared" si="9"/>
        <v/>
      </c>
      <c r="K100" t="str">
        <f t="shared" si="10"/>
        <v/>
      </c>
      <c r="L100" t="str">
        <f t="shared" si="11"/>
        <v/>
      </c>
      <c r="M100" s="44" t="str">
        <f t="shared" si="12"/>
        <v/>
      </c>
      <c r="N100" t="str">
        <f t="shared" si="13"/>
        <v/>
      </c>
      <c r="O100" t="str" cm="1">
        <f t="array" ref="O100">IF(E100="","",_xlfn._xlws.FILTER(#REF!,(#REF!=E100)*(#REF!=$R$4)*(#REF!=$Q$8)))</f>
        <v/>
      </c>
      <c r="P100" t="str">
        <f>IF(E100="","",VLOOKUP(E100,Calculations!$E$21:$P$98,12,0))</f>
        <v/>
      </c>
      <c r="Q100" s="44" t="str">
        <f>IF(E100="","",IF(VLOOKUP(E100,Calculations!$E$22:$U$1048576,17,0)="YES",ROUNDUP((H100*8%),0),0))</f>
        <v/>
      </c>
      <c r="R100" t="str" cm="1">
        <f t="array" ref="R100">IF(E100="","",(N100/30)*(_xlfn._xlws.FILTER(#REF!,(#REF!=E100)*(#REF!=$R$4)*(#REF!=$Q$8))+_xlfn._xlws.FILTER(#REF!,(#REF!=E100)*(#REF!=$R$4)*(#REF!=$Q$8))))</f>
        <v/>
      </c>
      <c r="S100" t="str" cm="1">
        <f t="array" ref="S100">IF(E100="","",ROUNDUP((N100/30)*(_xlfn._xlws.FILTER(#REF!,(#REF!=E100)*(#REF!=$R$4)*(#REF!=$Q$8))),0))</f>
        <v/>
      </c>
      <c r="T100" t="str">
        <f t="shared" si="14"/>
        <v/>
      </c>
      <c r="U100" s="45" t="str">
        <f t="shared" si="15"/>
        <v/>
      </c>
    </row>
    <row r="101" spans="5:21" x14ac:dyDescent="0.25">
      <c r="E101" s="44"/>
      <c r="F101" s="44" t="str">
        <f>IF(E101="","",IF(VLOOKUP(E101,Employees!A:L,2,0)="","",VLOOKUP(E101,Employees!A:L,2,0)))</f>
        <v/>
      </c>
      <c r="G101" s="44" t="str">
        <f>IF(E101="","",VLOOKUP(F101,Employees!B:M,2,0))</f>
        <v/>
      </c>
      <c r="H101" t="str">
        <f>IFERROR(ROUNDUP(IF(E101="","",((VLOOKUP(E101,Employees!A:L,12,0)-5000)*66.6666/100)),0),"")</f>
        <v/>
      </c>
      <c r="I101" t="str">
        <f t="shared" si="8"/>
        <v/>
      </c>
      <c r="J101" t="str">
        <f t="shared" si="9"/>
        <v/>
      </c>
      <c r="K101" t="str">
        <f t="shared" si="10"/>
        <v/>
      </c>
      <c r="L101" t="str">
        <f t="shared" si="11"/>
        <v/>
      </c>
      <c r="M101" s="44" t="str">
        <f t="shared" si="12"/>
        <v/>
      </c>
      <c r="N101" t="str">
        <f t="shared" si="13"/>
        <v/>
      </c>
      <c r="O101" t="str" cm="1">
        <f t="array" ref="O101">IF(E101="","",_xlfn._xlws.FILTER(#REF!,(#REF!=E101)*(#REF!=$R$4)*(#REF!=$Q$8)))</f>
        <v/>
      </c>
      <c r="P101" t="str">
        <f>IF(E101="","",VLOOKUP(E101,Calculations!$E$21:$P$98,12,0))</f>
        <v/>
      </c>
      <c r="Q101" s="44" t="str">
        <f>IF(E101="","",IF(VLOOKUP(E101,Calculations!$E$22:$U$1048576,17,0)="YES",ROUNDUP((H101*8%),0),0))</f>
        <v/>
      </c>
      <c r="R101" t="str" cm="1">
        <f t="array" ref="R101">IF(E101="","",(N101/30)*(_xlfn._xlws.FILTER(#REF!,(#REF!=E101)*(#REF!=$R$4)*(#REF!=$Q$8))+_xlfn._xlws.FILTER(#REF!,(#REF!=E101)*(#REF!=$R$4)*(#REF!=$Q$8))))</f>
        <v/>
      </c>
      <c r="S101" t="str" cm="1">
        <f t="array" ref="S101">IF(E101="","",ROUNDUP((N101/30)*(_xlfn._xlws.FILTER(#REF!,(#REF!=E101)*(#REF!=$R$4)*(#REF!=$Q$8))),0))</f>
        <v/>
      </c>
      <c r="T101" t="str">
        <f t="shared" si="14"/>
        <v/>
      </c>
      <c r="U101" s="45" t="str">
        <f t="shared" si="15"/>
        <v/>
      </c>
    </row>
    <row r="102" spans="5:21" x14ac:dyDescent="0.25">
      <c r="E102" s="44"/>
      <c r="F102" s="44" t="str">
        <f>IF(E102="","",IF(VLOOKUP(E102,Employees!A:L,2,0)="","",VLOOKUP(E102,Employees!A:L,2,0)))</f>
        <v/>
      </c>
      <c r="G102" s="44" t="str">
        <f>IF(E102="","",VLOOKUP(F102,Employees!B:M,2,0))</f>
        <v/>
      </c>
      <c r="H102" t="str">
        <f>IFERROR(ROUNDUP(IF(E102="","",((VLOOKUP(E102,Employees!A:L,12,0)-5000)*66.6666/100)),0),"")</f>
        <v/>
      </c>
      <c r="I102" t="str">
        <f t="shared" si="8"/>
        <v/>
      </c>
      <c r="J102" t="str">
        <f t="shared" si="9"/>
        <v/>
      </c>
      <c r="K102" t="str">
        <f t="shared" si="10"/>
        <v/>
      </c>
      <c r="L102" t="str">
        <f t="shared" si="11"/>
        <v/>
      </c>
      <c r="M102" s="44" t="str">
        <f t="shared" si="12"/>
        <v/>
      </c>
      <c r="N102" t="str">
        <f t="shared" si="13"/>
        <v/>
      </c>
      <c r="O102" t="str" cm="1">
        <f t="array" ref="O102">IF(E102="","",_xlfn._xlws.FILTER(#REF!,(#REF!=E102)*(#REF!=$R$4)*(#REF!=$Q$8)))</f>
        <v/>
      </c>
      <c r="P102" t="str">
        <f>IF(E102="","",VLOOKUP(E102,Calculations!$E$21:$P$98,12,0))</f>
        <v/>
      </c>
      <c r="Q102" s="44" t="str">
        <f>IF(E102="","",IF(VLOOKUP(E102,Calculations!$E$22:$U$1048576,17,0)="YES",ROUNDUP((H102*8%),0),0))</f>
        <v/>
      </c>
      <c r="R102" t="str" cm="1">
        <f t="array" ref="R102">IF(E102="","",(N102/30)*(_xlfn._xlws.FILTER(#REF!,(#REF!=E102)*(#REF!=$R$4)*(#REF!=$Q$8))+_xlfn._xlws.FILTER(#REF!,(#REF!=E102)*(#REF!=$R$4)*(#REF!=$Q$8))))</f>
        <v/>
      </c>
      <c r="S102" t="str" cm="1">
        <f t="array" ref="S102">IF(E102="","",ROUNDUP((N102/30)*(_xlfn._xlws.FILTER(#REF!,(#REF!=E102)*(#REF!=$R$4)*(#REF!=$Q$8))),0))</f>
        <v/>
      </c>
      <c r="T102" t="str">
        <f t="shared" si="14"/>
        <v/>
      </c>
      <c r="U102" s="45" t="str">
        <f t="shared" si="15"/>
        <v/>
      </c>
    </row>
    <row r="103" spans="5:21" x14ac:dyDescent="0.25">
      <c r="E103" s="44"/>
      <c r="F103" s="44" t="str">
        <f>IF(E103="","",IF(VLOOKUP(E103,Employees!A:L,2,0)="","",VLOOKUP(E103,Employees!A:L,2,0)))</f>
        <v/>
      </c>
      <c r="G103" s="44" t="str">
        <f>IF(E103="","",VLOOKUP(F103,Employees!B:M,2,0))</f>
        <v/>
      </c>
      <c r="H103" t="str">
        <f>IFERROR(ROUNDUP(IF(E103="","",((VLOOKUP(E103,Employees!A:L,12,0)-5000)*66.6666/100)),0),"")</f>
        <v/>
      </c>
      <c r="I103" t="str">
        <f t="shared" si="8"/>
        <v/>
      </c>
      <c r="J103" t="str">
        <f t="shared" si="9"/>
        <v/>
      </c>
      <c r="K103" t="str">
        <f t="shared" si="10"/>
        <v/>
      </c>
      <c r="L103" t="str">
        <f t="shared" si="11"/>
        <v/>
      </c>
      <c r="M103" s="44" t="str">
        <f t="shared" si="12"/>
        <v/>
      </c>
      <c r="N103" t="str">
        <f t="shared" si="13"/>
        <v/>
      </c>
      <c r="O103" t="str" cm="1">
        <f t="array" ref="O103">IF(E103="","",_xlfn._xlws.FILTER(#REF!,(#REF!=E103)*(#REF!=$R$4)*(#REF!=$Q$8)))</f>
        <v/>
      </c>
      <c r="P103" t="str">
        <f>IF(E103="","",VLOOKUP(E103,Calculations!$E$21:$P$98,12,0))</f>
        <v/>
      </c>
      <c r="Q103" s="44" t="str">
        <f>IF(E103="","",IF(VLOOKUP(E103,Calculations!$E$22:$U$1048576,17,0)="YES",ROUNDUP((H103*8%),0),0))</f>
        <v/>
      </c>
      <c r="R103" t="str" cm="1">
        <f t="array" ref="R103">IF(E103="","",(N103/30)*(_xlfn._xlws.FILTER(#REF!,(#REF!=E103)*(#REF!=$R$4)*(#REF!=$Q$8))+_xlfn._xlws.FILTER(#REF!,(#REF!=E103)*(#REF!=$R$4)*(#REF!=$Q$8))))</f>
        <v/>
      </c>
      <c r="S103" t="str" cm="1">
        <f t="array" ref="S103">IF(E103="","",ROUNDUP((N103/30)*(_xlfn._xlws.FILTER(#REF!,(#REF!=E103)*(#REF!=$R$4)*(#REF!=$Q$8))),0))</f>
        <v/>
      </c>
      <c r="T103" t="str">
        <f t="shared" si="14"/>
        <v/>
      </c>
      <c r="U103" s="45" t="str">
        <f t="shared" si="15"/>
        <v/>
      </c>
    </row>
    <row r="104" spans="5:21" x14ac:dyDescent="0.25">
      <c r="E104" s="44"/>
      <c r="F104" s="44" t="str">
        <f>IF(E104="","",IF(VLOOKUP(E104,Employees!A:L,2,0)="","",VLOOKUP(E104,Employees!A:L,2,0)))</f>
        <v/>
      </c>
      <c r="G104" s="44" t="str">
        <f>IF(E104="","",VLOOKUP(F104,Employees!B:M,2,0))</f>
        <v/>
      </c>
      <c r="H104" t="str">
        <f>IFERROR(ROUNDUP(IF(E104="","",((VLOOKUP(E104,Employees!A:L,12,0)-5000)*66.6666/100)),0),"")</f>
        <v/>
      </c>
      <c r="I104" t="str">
        <f t="shared" si="8"/>
        <v/>
      </c>
      <c r="J104" t="str">
        <f t="shared" si="9"/>
        <v/>
      </c>
      <c r="K104" t="str">
        <f t="shared" si="10"/>
        <v/>
      </c>
      <c r="L104" t="str">
        <f t="shared" si="11"/>
        <v/>
      </c>
      <c r="M104" s="44" t="str">
        <f t="shared" si="12"/>
        <v/>
      </c>
      <c r="N104" t="str">
        <f t="shared" si="13"/>
        <v/>
      </c>
      <c r="O104" t="str" cm="1">
        <f t="array" ref="O104">IF(E104="","",_xlfn._xlws.FILTER(#REF!,(#REF!=E104)*(#REF!=$R$4)*(#REF!=$Q$8)))</f>
        <v/>
      </c>
      <c r="P104" t="str">
        <f>IF(E104="","",VLOOKUP(E104,Calculations!$E$21:$P$98,12,0))</f>
        <v/>
      </c>
      <c r="Q104" s="44" t="str">
        <f>IF(E104="","",IF(VLOOKUP(E104,Calculations!$E$22:$U$1048576,17,0)="YES",ROUNDUP((H104*8%),0),0))</f>
        <v/>
      </c>
      <c r="R104" t="str" cm="1">
        <f t="array" ref="R104">IF(E104="","",(N104/30)*(_xlfn._xlws.FILTER(#REF!,(#REF!=E104)*(#REF!=$R$4)*(#REF!=$Q$8))+_xlfn._xlws.FILTER(#REF!,(#REF!=E104)*(#REF!=$R$4)*(#REF!=$Q$8))))</f>
        <v/>
      </c>
      <c r="S104" t="str" cm="1">
        <f t="array" ref="S104">IF(E104="","",ROUNDUP((N104/30)*(_xlfn._xlws.FILTER(#REF!,(#REF!=E104)*(#REF!=$R$4)*(#REF!=$Q$8))),0))</f>
        <v/>
      </c>
      <c r="T104" t="str">
        <f t="shared" si="14"/>
        <v/>
      </c>
      <c r="U104" s="45" t="str">
        <f t="shared" si="15"/>
        <v/>
      </c>
    </row>
    <row r="105" spans="5:21" x14ac:dyDescent="0.25">
      <c r="E105" s="44"/>
      <c r="F105" s="44" t="str">
        <f>IF(E105="","",IF(VLOOKUP(E105,Employees!A:L,2,0)="","",VLOOKUP(E105,Employees!A:L,2,0)))</f>
        <v/>
      </c>
      <c r="G105" s="44" t="str">
        <f>IF(E105="","",VLOOKUP(F105,Employees!B:M,2,0))</f>
        <v/>
      </c>
      <c r="H105" t="str">
        <f>IFERROR(ROUNDUP(IF(E105="","",((VLOOKUP(E105,Employees!A:L,12,0)-5000)*66.6666/100)),0),"")</f>
        <v/>
      </c>
      <c r="I105" t="str">
        <f t="shared" si="8"/>
        <v/>
      </c>
      <c r="J105" t="str">
        <f t="shared" si="9"/>
        <v/>
      </c>
      <c r="K105" t="str">
        <f t="shared" si="10"/>
        <v/>
      </c>
      <c r="L105" t="str">
        <f t="shared" si="11"/>
        <v/>
      </c>
      <c r="M105" s="44" t="str">
        <f t="shared" si="12"/>
        <v/>
      </c>
      <c r="N105" t="str">
        <f t="shared" si="13"/>
        <v/>
      </c>
      <c r="O105" t="str" cm="1">
        <f t="array" ref="O105">IF(E105="","",_xlfn._xlws.FILTER(#REF!,(#REF!=E105)*(#REF!=$R$4)*(#REF!=$Q$8)))</f>
        <v/>
      </c>
      <c r="P105" t="str">
        <f>IF(E105="","",VLOOKUP(E105,Calculations!$E$21:$P$98,12,0))</f>
        <v/>
      </c>
      <c r="Q105" s="44" t="str">
        <f>IF(E105="","",IF(VLOOKUP(E105,Calculations!$E$22:$U$1048576,17,0)="YES",ROUNDUP((H105*8%),0),0))</f>
        <v/>
      </c>
      <c r="R105" t="str" cm="1">
        <f t="array" ref="R105">IF(E105="","",(N105/30)*(_xlfn._xlws.FILTER(#REF!,(#REF!=E105)*(#REF!=$R$4)*(#REF!=$Q$8))+_xlfn._xlws.FILTER(#REF!,(#REF!=E105)*(#REF!=$R$4)*(#REF!=$Q$8))))</f>
        <v/>
      </c>
      <c r="S105" t="str" cm="1">
        <f t="array" ref="S105">IF(E105="","",ROUNDUP((N105/30)*(_xlfn._xlws.FILTER(#REF!,(#REF!=E105)*(#REF!=$R$4)*(#REF!=$Q$8))),0))</f>
        <v/>
      </c>
      <c r="T105" t="str">
        <f t="shared" si="14"/>
        <v/>
      </c>
      <c r="U105" s="45" t="str">
        <f t="shared" si="15"/>
        <v/>
      </c>
    </row>
    <row r="106" spans="5:21" x14ac:dyDescent="0.25">
      <c r="E106" s="44"/>
      <c r="F106" s="44" t="str">
        <f>IF(E106="","",IF(VLOOKUP(E106,Employees!A:L,2,0)="","",VLOOKUP(E106,Employees!A:L,2,0)))</f>
        <v/>
      </c>
      <c r="G106" s="44" t="str">
        <f>IF(E106="","",VLOOKUP(F106,Employees!B:M,2,0))</f>
        <v/>
      </c>
      <c r="H106" t="str">
        <f>IFERROR(ROUNDUP(IF(E106="","",((VLOOKUP(E106,Employees!A:L,12,0)-5000)*66.6666/100)),0),"")</f>
        <v/>
      </c>
      <c r="I106" t="str">
        <f t="shared" si="8"/>
        <v/>
      </c>
      <c r="J106" t="str">
        <f t="shared" si="9"/>
        <v/>
      </c>
      <c r="K106" t="str">
        <f t="shared" si="10"/>
        <v/>
      </c>
      <c r="L106" t="str">
        <f t="shared" si="11"/>
        <v/>
      </c>
      <c r="M106" s="44" t="str">
        <f t="shared" si="12"/>
        <v/>
      </c>
      <c r="N106" t="str">
        <f t="shared" si="13"/>
        <v/>
      </c>
      <c r="O106" t="str" cm="1">
        <f t="array" ref="O106">IF(E106="","",_xlfn._xlws.FILTER(#REF!,(#REF!=E106)*(#REF!=$R$4)*(#REF!=$Q$8)))</f>
        <v/>
      </c>
      <c r="P106" t="str">
        <f>IF(E106="","",VLOOKUP(E106,Calculations!$E$21:$P$98,12,0))</f>
        <v/>
      </c>
      <c r="Q106" s="44" t="str">
        <f>IF(E106="","",IF(VLOOKUP(E106,Calculations!$E$22:$U$1048576,17,0)="YES",ROUNDUP((H106*8%),0),0))</f>
        <v/>
      </c>
      <c r="R106" t="str" cm="1">
        <f t="array" ref="R106">IF(E106="","",(N106/30)*(_xlfn._xlws.FILTER(#REF!,(#REF!=E106)*(#REF!=$R$4)*(#REF!=$Q$8))+_xlfn._xlws.FILTER(#REF!,(#REF!=E106)*(#REF!=$R$4)*(#REF!=$Q$8))))</f>
        <v/>
      </c>
      <c r="S106" t="str" cm="1">
        <f t="array" ref="S106">IF(E106="","",ROUNDUP((N106/30)*(_xlfn._xlws.FILTER(#REF!,(#REF!=E106)*(#REF!=$R$4)*(#REF!=$Q$8))),0))</f>
        <v/>
      </c>
      <c r="T106" t="str">
        <f t="shared" si="14"/>
        <v/>
      </c>
      <c r="U106" s="45" t="str">
        <f t="shared" si="15"/>
        <v/>
      </c>
    </row>
    <row r="107" spans="5:21" x14ac:dyDescent="0.25">
      <c r="E107" s="44"/>
      <c r="F107" s="44" t="str">
        <f>IF(E107="","",IF(VLOOKUP(E107,Employees!A:L,2,0)="","",VLOOKUP(E107,Employees!A:L,2,0)))</f>
        <v/>
      </c>
      <c r="G107" s="44" t="str">
        <f>IF(E107="","",VLOOKUP(F107,Employees!B:M,2,0))</f>
        <v/>
      </c>
      <c r="H107" t="str">
        <f>IFERROR(ROUNDUP(IF(E107="","",((VLOOKUP(E107,Employees!A:L,12,0)-5000)*66.6666/100)),0),"")</f>
        <v/>
      </c>
      <c r="I107" t="str">
        <f t="shared" si="8"/>
        <v/>
      </c>
      <c r="J107" t="str">
        <f t="shared" si="9"/>
        <v/>
      </c>
      <c r="K107" t="str">
        <f t="shared" si="10"/>
        <v/>
      </c>
      <c r="L107" t="str">
        <f t="shared" si="11"/>
        <v/>
      </c>
      <c r="M107" s="44" t="str">
        <f t="shared" si="12"/>
        <v/>
      </c>
      <c r="N107" t="str">
        <f t="shared" si="13"/>
        <v/>
      </c>
      <c r="O107" t="str" cm="1">
        <f t="array" ref="O107">IF(E107="","",_xlfn._xlws.FILTER(#REF!,(#REF!=E107)*(#REF!=$R$4)*(#REF!=$Q$8)))</f>
        <v/>
      </c>
      <c r="P107" t="str">
        <f>IF(E107="","",VLOOKUP(E107,Calculations!$E$21:$P$98,12,0))</f>
        <v/>
      </c>
      <c r="Q107" s="44" t="str">
        <f>IF(E107="","",IF(VLOOKUP(E107,Calculations!$E$22:$U$1048576,17,0)="YES",ROUNDUP((H107*8%),0),0))</f>
        <v/>
      </c>
      <c r="R107" t="str" cm="1">
        <f t="array" ref="R107">IF(E107="","",(N107/30)*(_xlfn._xlws.FILTER(#REF!,(#REF!=E107)*(#REF!=$R$4)*(#REF!=$Q$8))+_xlfn._xlws.FILTER(#REF!,(#REF!=E107)*(#REF!=$R$4)*(#REF!=$Q$8))))</f>
        <v/>
      </c>
      <c r="S107" t="str" cm="1">
        <f t="array" ref="S107">IF(E107="","",ROUNDUP((N107/30)*(_xlfn._xlws.FILTER(#REF!,(#REF!=E107)*(#REF!=$R$4)*(#REF!=$Q$8))),0))</f>
        <v/>
      </c>
      <c r="T107" t="str">
        <f t="shared" si="14"/>
        <v/>
      </c>
      <c r="U107" s="45" t="str">
        <f t="shared" si="15"/>
        <v/>
      </c>
    </row>
    <row r="108" spans="5:21" x14ac:dyDescent="0.25">
      <c r="E108" s="44"/>
      <c r="F108" s="44" t="str">
        <f>IF(E108="","",IF(VLOOKUP(E108,Employees!A:L,2,0)="","",VLOOKUP(E108,Employees!A:L,2,0)))</f>
        <v/>
      </c>
      <c r="G108" s="44" t="str">
        <f>IF(E108="","",VLOOKUP(F108,Employees!B:M,2,0))</f>
        <v/>
      </c>
      <c r="H108" t="str">
        <f>IFERROR(ROUNDUP(IF(E108="","",((VLOOKUP(E108,Employees!A:L,12,0)-5000)*66.6666/100)),0),"")</f>
        <v/>
      </c>
      <c r="I108" t="str">
        <f t="shared" si="8"/>
        <v/>
      </c>
      <c r="J108" t="str">
        <f t="shared" si="9"/>
        <v/>
      </c>
      <c r="K108" t="str">
        <f t="shared" si="10"/>
        <v/>
      </c>
      <c r="L108" t="str">
        <f t="shared" si="11"/>
        <v/>
      </c>
      <c r="M108" s="44" t="str">
        <f t="shared" si="12"/>
        <v/>
      </c>
      <c r="N108" t="str">
        <f t="shared" si="13"/>
        <v/>
      </c>
      <c r="O108" t="str" cm="1">
        <f t="array" ref="O108">IF(E108="","",_xlfn._xlws.FILTER(#REF!,(#REF!=E108)*(#REF!=$R$4)*(#REF!=$Q$8)))</f>
        <v/>
      </c>
      <c r="P108" t="str">
        <f>IF(E108="","",VLOOKUP(E108,Calculations!$E$21:$P$98,12,0))</f>
        <v/>
      </c>
      <c r="Q108" s="44" t="str">
        <f>IF(E108="","",IF(VLOOKUP(E108,Calculations!$E$22:$U$1048576,17,0)="YES",ROUNDUP((H108*8%),0),0))</f>
        <v/>
      </c>
      <c r="R108" t="str" cm="1">
        <f t="array" ref="R108">IF(E108="","",(N108/30)*(_xlfn._xlws.FILTER(#REF!,(#REF!=E108)*(#REF!=$R$4)*(#REF!=$Q$8))+_xlfn._xlws.FILTER(#REF!,(#REF!=E108)*(#REF!=$R$4)*(#REF!=$Q$8))))</f>
        <v/>
      </c>
      <c r="S108" t="str" cm="1">
        <f t="array" ref="S108">IF(E108="","",ROUNDUP((N108/30)*(_xlfn._xlws.FILTER(#REF!,(#REF!=E108)*(#REF!=$R$4)*(#REF!=$Q$8))),0))</f>
        <v/>
      </c>
      <c r="T108" t="str">
        <f t="shared" si="14"/>
        <v/>
      </c>
      <c r="U108" s="45" t="str">
        <f t="shared" si="15"/>
        <v/>
      </c>
    </row>
    <row r="109" spans="5:21" x14ac:dyDescent="0.25">
      <c r="E109" s="44"/>
      <c r="F109" s="44" t="str">
        <f>IF(E109="","",IF(VLOOKUP(E109,Employees!A:L,2,0)="","",VLOOKUP(E109,Employees!A:L,2,0)))</f>
        <v/>
      </c>
      <c r="G109" s="44" t="str">
        <f>IF(E109="","",VLOOKUP(F109,Employees!B:M,2,0))</f>
        <v/>
      </c>
      <c r="H109" t="str">
        <f>IFERROR(ROUNDUP(IF(E109="","",((VLOOKUP(E109,Employees!A:L,12,0)-5000)*66.6666/100)),0),"")</f>
        <v/>
      </c>
      <c r="I109" t="str">
        <f t="shared" si="8"/>
        <v/>
      </c>
      <c r="J109" t="str">
        <f t="shared" si="9"/>
        <v/>
      </c>
      <c r="K109" t="str">
        <f t="shared" si="10"/>
        <v/>
      </c>
      <c r="L109" t="str">
        <f t="shared" si="11"/>
        <v/>
      </c>
      <c r="M109" s="44" t="str">
        <f t="shared" si="12"/>
        <v/>
      </c>
      <c r="N109" t="str">
        <f t="shared" si="13"/>
        <v/>
      </c>
      <c r="O109" t="str" cm="1">
        <f t="array" ref="O109">IF(E109="","",_xlfn._xlws.FILTER(#REF!,(#REF!=E109)*(#REF!=$R$4)*(#REF!=$Q$8)))</f>
        <v/>
      </c>
      <c r="P109" t="str">
        <f>IF(E109="","",VLOOKUP(E109,Calculations!$E$21:$P$98,12,0))</f>
        <v/>
      </c>
      <c r="Q109" s="44" t="str">
        <f>IF(E109="","",IF(VLOOKUP(E109,Calculations!$E$22:$U$1048576,17,0)="YES",ROUNDUP((H109*8%),0),0))</f>
        <v/>
      </c>
      <c r="R109" t="str" cm="1">
        <f t="array" ref="R109">IF(E109="","",(N109/30)*(_xlfn._xlws.FILTER(#REF!,(#REF!=E109)*(#REF!=$R$4)*(#REF!=$Q$8))+_xlfn._xlws.FILTER(#REF!,(#REF!=E109)*(#REF!=$R$4)*(#REF!=$Q$8))))</f>
        <v/>
      </c>
      <c r="S109" t="str" cm="1">
        <f t="array" ref="S109">IF(E109="","",ROUNDUP((N109/30)*(_xlfn._xlws.FILTER(#REF!,(#REF!=E109)*(#REF!=$R$4)*(#REF!=$Q$8))),0))</f>
        <v/>
      </c>
      <c r="T109" t="str">
        <f t="shared" si="14"/>
        <v/>
      </c>
      <c r="U109" s="45" t="str">
        <f t="shared" si="15"/>
        <v/>
      </c>
    </row>
    <row r="110" spans="5:21" x14ac:dyDescent="0.25">
      <c r="E110" s="44"/>
      <c r="F110" s="44" t="str">
        <f>IF(E110="","",IF(VLOOKUP(E110,Employees!A:L,2,0)="","",VLOOKUP(E110,Employees!A:L,2,0)))</f>
        <v/>
      </c>
      <c r="G110" s="44" t="str">
        <f>IF(E110="","",VLOOKUP(F110,Employees!B:M,2,0))</f>
        <v/>
      </c>
      <c r="H110" t="str">
        <f>IFERROR(ROUNDUP(IF(E110="","",((VLOOKUP(E110,Employees!A:L,12,0)-5000)*66.6666/100)),0),"")</f>
        <v/>
      </c>
      <c r="I110" t="str">
        <f t="shared" si="8"/>
        <v/>
      </c>
      <c r="J110" t="str">
        <f t="shared" si="9"/>
        <v/>
      </c>
      <c r="K110" t="str">
        <f t="shared" si="10"/>
        <v/>
      </c>
      <c r="L110" t="str">
        <f t="shared" si="11"/>
        <v/>
      </c>
      <c r="M110" s="44" t="str">
        <f t="shared" si="12"/>
        <v/>
      </c>
      <c r="N110" t="str">
        <f t="shared" si="13"/>
        <v/>
      </c>
      <c r="O110" t="str" cm="1">
        <f t="array" ref="O110">IF(E110="","",_xlfn._xlws.FILTER(#REF!,(#REF!=E110)*(#REF!=$R$4)*(#REF!=$Q$8)))</f>
        <v/>
      </c>
      <c r="P110" t="str">
        <f>IF(E110="","",VLOOKUP(E110,Calculations!$E$21:$P$98,12,0))</f>
        <v/>
      </c>
      <c r="Q110" s="44" t="str">
        <f>IF(E110="","",IF(VLOOKUP(E110,Calculations!$E$22:$U$1048576,17,0)="YES",ROUNDUP((H110*8%),0),0))</f>
        <v/>
      </c>
      <c r="R110" t="str" cm="1">
        <f t="array" ref="R110">IF(E110="","",(N110/30)*(_xlfn._xlws.FILTER(#REF!,(#REF!=E110)*(#REF!=$R$4)*(#REF!=$Q$8))+_xlfn._xlws.FILTER(#REF!,(#REF!=E110)*(#REF!=$R$4)*(#REF!=$Q$8))))</f>
        <v/>
      </c>
      <c r="S110" t="str" cm="1">
        <f t="array" ref="S110">IF(E110="","",ROUNDUP((N110/30)*(_xlfn._xlws.FILTER(#REF!,(#REF!=E110)*(#REF!=$R$4)*(#REF!=$Q$8))),0))</f>
        <v/>
      </c>
      <c r="T110" t="str">
        <f t="shared" si="14"/>
        <v/>
      </c>
      <c r="U110" s="45" t="str">
        <f t="shared" si="15"/>
        <v/>
      </c>
    </row>
    <row r="111" spans="5:21" x14ac:dyDescent="0.25">
      <c r="E111" s="44"/>
      <c r="F111" s="44" t="str">
        <f>IF(E111="","",IF(VLOOKUP(E111,Employees!A:L,2,0)="","",VLOOKUP(E111,Employees!A:L,2,0)))</f>
        <v/>
      </c>
      <c r="G111" s="44" t="str">
        <f>IF(E111="","",VLOOKUP(F111,Employees!B:M,2,0))</f>
        <v/>
      </c>
      <c r="H111" t="str">
        <f>IFERROR(ROUNDUP(IF(E111="","",((VLOOKUP(E111,Employees!A:L,12,0)-5000)*66.6666/100)),0),"")</f>
        <v/>
      </c>
      <c r="I111" t="str">
        <f t="shared" si="8"/>
        <v/>
      </c>
      <c r="J111" t="str">
        <f t="shared" si="9"/>
        <v/>
      </c>
      <c r="K111" t="str">
        <f t="shared" si="10"/>
        <v/>
      </c>
      <c r="L111" t="str">
        <f t="shared" si="11"/>
        <v/>
      </c>
      <c r="M111" s="44" t="str">
        <f t="shared" si="12"/>
        <v/>
      </c>
      <c r="N111" t="str">
        <f t="shared" si="13"/>
        <v/>
      </c>
      <c r="O111" t="str" cm="1">
        <f t="array" ref="O111">IF(E111="","",_xlfn._xlws.FILTER(#REF!,(#REF!=E111)*(#REF!=$R$4)*(#REF!=$Q$8)))</f>
        <v/>
      </c>
      <c r="P111" t="str">
        <f>IF(E111="","",VLOOKUP(E111,Calculations!$E$21:$P$98,12,0))</f>
        <v/>
      </c>
      <c r="Q111" s="44" t="str">
        <f>IF(E111="","",IF(VLOOKUP(E111,Calculations!$E$22:$U$1048576,17,0)="YES",ROUNDUP((H111*8%),0),0))</f>
        <v/>
      </c>
      <c r="R111" t="str" cm="1">
        <f t="array" ref="R111">IF(E111="","",(N111/30)*(_xlfn._xlws.FILTER(#REF!,(#REF!=E111)*(#REF!=$R$4)*(#REF!=$Q$8))+_xlfn._xlws.FILTER(#REF!,(#REF!=E111)*(#REF!=$R$4)*(#REF!=$Q$8))))</f>
        <v/>
      </c>
      <c r="S111" t="str" cm="1">
        <f t="array" ref="S111">IF(E111="","",ROUNDUP((N111/30)*(_xlfn._xlws.FILTER(#REF!,(#REF!=E111)*(#REF!=$R$4)*(#REF!=$Q$8))),0))</f>
        <v/>
      </c>
      <c r="T111" t="str">
        <f t="shared" si="14"/>
        <v/>
      </c>
      <c r="U111" s="45" t="str">
        <f t="shared" si="15"/>
        <v/>
      </c>
    </row>
    <row r="112" spans="5:21" x14ac:dyDescent="0.25">
      <c r="E112" s="44"/>
      <c r="F112" s="44" t="str">
        <f>IF(E112="","",IF(VLOOKUP(E112,Employees!A:L,2,0)="","",VLOOKUP(E112,Employees!A:L,2,0)))</f>
        <v/>
      </c>
      <c r="G112" s="44" t="str">
        <f>IF(E112="","",VLOOKUP(F112,Employees!B:M,2,0))</f>
        <v/>
      </c>
      <c r="H112" t="str">
        <f>IFERROR(ROUNDUP(IF(E112="","",((VLOOKUP(E112,Employees!A:L,12,0)-5000)*66.6666/100)),0),"")</f>
        <v/>
      </c>
      <c r="I112" t="str">
        <f t="shared" si="8"/>
        <v/>
      </c>
      <c r="J112" t="str">
        <f t="shared" si="9"/>
        <v/>
      </c>
      <c r="K112" t="str">
        <f t="shared" si="10"/>
        <v/>
      </c>
      <c r="L112" t="str">
        <f t="shared" si="11"/>
        <v/>
      </c>
      <c r="M112" s="44" t="str">
        <f t="shared" si="12"/>
        <v/>
      </c>
      <c r="N112" t="str">
        <f t="shared" si="13"/>
        <v/>
      </c>
      <c r="O112" t="str" cm="1">
        <f t="array" ref="O112">IF(E112="","",_xlfn._xlws.FILTER(#REF!,(#REF!=E112)*(#REF!=$R$4)*(#REF!=$Q$8)))</f>
        <v/>
      </c>
      <c r="P112" t="str">
        <f>IF(E112="","",VLOOKUP(E112,Calculations!$E$21:$P$98,12,0))</f>
        <v/>
      </c>
      <c r="Q112" s="44" t="str">
        <f>IF(E112="","",IF(VLOOKUP(E112,Calculations!$E$22:$U$1048576,17,0)="YES",ROUNDUP((H112*8%),0),0))</f>
        <v/>
      </c>
      <c r="R112" t="str" cm="1">
        <f t="array" ref="R112">IF(E112="","",(N112/30)*(_xlfn._xlws.FILTER(#REF!,(#REF!=E112)*(#REF!=$R$4)*(#REF!=$Q$8))+_xlfn._xlws.FILTER(#REF!,(#REF!=E112)*(#REF!=$R$4)*(#REF!=$Q$8))))</f>
        <v/>
      </c>
      <c r="S112" t="str" cm="1">
        <f t="array" ref="S112">IF(E112="","",ROUNDUP((N112/30)*(_xlfn._xlws.FILTER(#REF!,(#REF!=E112)*(#REF!=$R$4)*(#REF!=$Q$8))),0))</f>
        <v/>
      </c>
      <c r="T112" t="str">
        <f t="shared" si="14"/>
        <v/>
      </c>
      <c r="U112" s="45" t="str">
        <f t="shared" si="15"/>
        <v/>
      </c>
    </row>
    <row r="113" spans="5:21" x14ac:dyDescent="0.25">
      <c r="E113" s="44"/>
      <c r="F113" s="44" t="str">
        <f>IF(E113="","",IF(VLOOKUP(E113,Employees!A:L,2,0)="","",VLOOKUP(E113,Employees!A:L,2,0)))</f>
        <v/>
      </c>
      <c r="G113" s="44" t="str">
        <f>IF(E113="","",VLOOKUP(F113,Employees!B:M,2,0))</f>
        <v/>
      </c>
      <c r="H113" t="str">
        <f>IFERROR(ROUNDUP(IF(E113="","",((VLOOKUP(E113,Employees!A:L,12,0)-5000)*66.6666/100)),0),"")</f>
        <v/>
      </c>
      <c r="I113" t="str">
        <f t="shared" si="8"/>
        <v/>
      </c>
      <c r="J113" t="str">
        <f t="shared" si="9"/>
        <v/>
      </c>
      <c r="K113" t="str">
        <f t="shared" si="10"/>
        <v/>
      </c>
      <c r="L113" t="str">
        <f t="shared" si="11"/>
        <v/>
      </c>
      <c r="M113" s="44" t="str">
        <f t="shared" si="12"/>
        <v/>
      </c>
      <c r="N113" t="str">
        <f t="shared" si="13"/>
        <v/>
      </c>
      <c r="O113" t="str" cm="1">
        <f t="array" ref="O113">IF(E113="","",_xlfn._xlws.FILTER(#REF!,(#REF!=E113)*(#REF!=$R$4)*(#REF!=$Q$8)))</f>
        <v/>
      </c>
      <c r="P113" t="str">
        <f>IF(E113="","",VLOOKUP(E113,Calculations!$E$21:$P$98,12,0))</f>
        <v/>
      </c>
      <c r="Q113" s="44" t="str">
        <f>IF(E113="","",IF(VLOOKUP(E113,Calculations!$E$22:$U$1048576,17,0)="YES",ROUNDUP((H113*8%),0),0))</f>
        <v/>
      </c>
      <c r="R113" t="str" cm="1">
        <f t="array" ref="R113">IF(E113="","",(N113/30)*(_xlfn._xlws.FILTER(#REF!,(#REF!=E113)*(#REF!=$R$4)*(#REF!=$Q$8))+_xlfn._xlws.FILTER(#REF!,(#REF!=E113)*(#REF!=$R$4)*(#REF!=$Q$8))))</f>
        <v/>
      </c>
      <c r="S113" t="str" cm="1">
        <f t="array" ref="S113">IF(E113="","",ROUNDUP((N113/30)*(_xlfn._xlws.FILTER(#REF!,(#REF!=E113)*(#REF!=$R$4)*(#REF!=$Q$8))),0))</f>
        <v/>
      </c>
      <c r="T113" t="str">
        <f t="shared" si="14"/>
        <v/>
      </c>
      <c r="U113" s="45" t="str">
        <f t="shared" si="15"/>
        <v/>
      </c>
    </row>
    <row r="114" spans="5:21" x14ac:dyDescent="0.25">
      <c r="E114" s="44"/>
      <c r="F114" s="44" t="str">
        <f>IF(E114="","",IF(VLOOKUP(E114,Employees!A:L,2,0)="","",VLOOKUP(E114,Employees!A:L,2,0)))</f>
        <v/>
      </c>
      <c r="G114" s="44" t="str">
        <f>IF(E114="","",VLOOKUP(F114,Employees!B:M,2,0))</f>
        <v/>
      </c>
      <c r="H114" t="str">
        <f>IFERROR(ROUNDUP(IF(E114="","",((VLOOKUP(E114,Employees!A:L,12,0)-5000)*66.6666/100)),0),"")</f>
        <v/>
      </c>
      <c r="I114" t="str">
        <f t="shared" si="8"/>
        <v/>
      </c>
      <c r="J114" t="str">
        <f t="shared" si="9"/>
        <v/>
      </c>
      <c r="K114" t="str">
        <f t="shared" si="10"/>
        <v/>
      </c>
      <c r="L114" t="str">
        <f t="shared" si="11"/>
        <v/>
      </c>
      <c r="M114" s="44" t="str">
        <f t="shared" si="12"/>
        <v/>
      </c>
      <c r="N114" t="str">
        <f t="shared" si="13"/>
        <v/>
      </c>
      <c r="O114" t="str" cm="1">
        <f t="array" ref="O114">IF(E114="","",_xlfn._xlws.FILTER(#REF!,(#REF!=E114)*(#REF!=$R$4)*(#REF!=$Q$8)))</f>
        <v/>
      </c>
      <c r="P114" t="str">
        <f>IF(E114="","",VLOOKUP(E114,Calculations!$E$21:$P$98,12,0))</f>
        <v/>
      </c>
      <c r="Q114" s="44" t="str">
        <f>IF(E114="","",IF(VLOOKUP(E114,Calculations!$E$22:$U$1048576,17,0)="YES",ROUNDUP((H114*8%),0),0))</f>
        <v/>
      </c>
      <c r="R114" t="str" cm="1">
        <f t="array" ref="R114">IF(E114="","",(N114/30)*(_xlfn._xlws.FILTER(#REF!,(#REF!=E114)*(#REF!=$R$4)*(#REF!=$Q$8))+_xlfn._xlws.FILTER(#REF!,(#REF!=E114)*(#REF!=$R$4)*(#REF!=$Q$8))))</f>
        <v/>
      </c>
      <c r="S114" t="str" cm="1">
        <f t="array" ref="S114">IF(E114="","",ROUNDUP((N114/30)*(_xlfn._xlws.FILTER(#REF!,(#REF!=E114)*(#REF!=$R$4)*(#REF!=$Q$8))),0))</f>
        <v/>
      </c>
      <c r="T114" t="str">
        <f t="shared" si="14"/>
        <v/>
      </c>
      <c r="U114" s="45" t="str">
        <f t="shared" si="15"/>
        <v/>
      </c>
    </row>
    <row r="115" spans="5:21" x14ac:dyDescent="0.25">
      <c r="E115" s="44"/>
      <c r="F115" s="44" t="str">
        <f>IF(E115="","",IF(VLOOKUP(E115,Employees!A:L,2,0)="","",VLOOKUP(E115,Employees!A:L,2,0)))</f>
        <v/>
      </c>
      <c r="G115" s="44" t="str">
        <f>IF(E115="","",VLOOKUP(F115,Employees!B:M,2,0))</f>
        <v/>
      </c>
      <c r="H115" t="str">
        <f>IFERROR(ROUNDUP(IF(E115="","",((VLOOKUP(E115,Employees!A:L,12,0)-5000)*66.6666/100)),0),"")</f>
        <v/>
      </c>
      <c r="I115" t="str">
        <f t="shared" si="8"/>
        <v/>
      </c>
      <c r="J115" t="str">
        <f t="shared" si="9"/>
        <v/>
      </c>
      <c r="K115" t="str">
        <f t="shared" si="10"/>
        <v/>
      </c>
      <c r="L115" t="str">
        <f t="shared" si="11"/>
        <v/>
      </c>
      <c r="M115" s="44" t="str">
        <f t="shared" si="12"/>
        <v/>
      </c>
      <c r="N115" t="str">
        <f t="shared" si="13"/>
        <v/>
      </c>
      <c r="O115" t="str" cm="1">
        <f t="array" ref="O115">IF(E115="","",_xlfn._xlws.FILTER(#REF!,(#REF!=E115)*(#REF!=$R$4)*(#REF!=$Q$8)))</f>
        <v/>
      </c>
      <c r="P115" t="str">
        <f>IF(E115="","",VLOOKUP(E115,Calculations!$E$21:$P$98,12,0))</f>
        <v/>
      </c>
      <c r="Q115" s="44" t="str">
        <f>IF(E115="","",IF(VLOOKUP(E115,Calculations!$E$22:$U$1048576,17,0)="YES",ROUNDUP((H115*8%),0),0))</f>
        <v/>
      </c>
      <c r="R115" t="str" cm="1">
        <f t="array" ref="R115">IF(E115="","",(N115/30)*(_xlfn._xlws.FILTER(#REF!,(#REF!=E115)*(#REF!=$R$4)*(#REF!=$Q$8))+_xlfn._xlws.FILTER(#REF!,(#REF!=E115)*(#REF!=$R$4)*(#REF!=$Q$8))))</f>
        <v/>
      </c>
      <c r="S115" t="str" cm="1">
        <f t="array" ref="S115">IF(E115="","",ROUNDUP((N115/30)*(_xlfn._xlws.FILTER(#REF!,(#REF!=E115)*(#REF!=$R$4)*(#REF!=$Q$8))),0))</f>
        <v/>
      </c>
      <c r="T115" t="str">
        <f t="shared" si="14"/>
        <v/>
      </c>
      <c r="U115" s="45" t="str">
        <f t="shared" si="15"/>
        <v/>
      </c>
    </row>
    <row r="116" spans="5:21" x14ac:dyDescent="0.25">
      <c r="E116" s="44"/>
      <c r="F116" s="44" t="str">
        <f>IF(E116="","",IF(VLOOKUP(E116,Employees!A:L,2,0)="","",VLOOKUP(E116,Employees!A:L,2,0)))</f>
        <v/>
      </c>
      <c r="G116" s="44" t="str">
        <f>IF(E116="","",VLOOKUP(F116,Employees!B:M,2,0))</f>
        <v/>
      </c>
      <c r="H116" t="str">
        <f>IFERROR(ROUNDUP(IF(E116="","",((VLOOKUP(E116,Employees!A:L,12,0)-5000)*66.6666/100)),0),"")</f>
        <v/>
      </c>
      <c r="I116" t="str">
        <f t="shared" si="8"/>
        <v/>
      </c>
      <c r="J116" t="str">
        <f t="shared" si="9"/>
        <v/>
      </c>
      <c r="K116" t="str">
        <f t="shared" si="10"/>
        <v/>
      </c>
      <c r="L116" t="str">
        <f t="shared" si="11"/>
        <v/>
      </c>
      <c r="M116" s="44" t="str">
        <f t="shared" si="12"/>
        <v/>
      </c>
      <c r="N116" t="str">
        <f t="shared" si="13"/>
        <v/>
      </c>
      <c r="O116" t="str" cm="1">
        <f t="array" ref="O116">IF(E116="","",_xlfn._xlws.FILTER(#REF!,(#REF!=E116)*(#REF!=$R$4)*(#REF!=$Q$8)))</f>
        <v/>
      </c>
      <c r="P116" t="str">
        <f>IF(E116="","",VLOOKUP(E116,Calculations!$E$21:$P$98,12,0))</f>
        <v/>
      </c>
      <c r="Q116" s="44" t="str">
        <f>IF(E116="","",IF(VLOOKUP(E116,Calculations!$E$22:$U$1048576,17,0)="YES",ROUNDUP((H116*8%),0),0))</f>
        <v/>
      </c>
      <c r="R116" t="str" cm="1">
        <f t="array" ref="R116">IF(E116="","",(N116/30)*(_xlfn._xlws.FILTER(#REF!,(#REF!=E116)*(#REF!=$R$4)*(#REF!=$Q$8))+_xlfn._xlws.FILTER(#REF!,(#REF!=E116)*(#REF!=$R$4)*(#REF!=$Q$8))))</f>
        <v/>
      </c>
      <c r="S116" t="str" cm="1">
        <f t="array" ref="S116">IF(E116="","",ROUNDUP((N116/30)*(_xlfn._xlws.FILTER(#REF!,(#REF!=E116)*(#REF!=$R$4)*(#REF!=$Q$8))),0))</f>
        <v/>
      </c>
      <c r="T116" t="str">
        <f t="shared" si="14"/>
        <v/>
      </c>
      <c r="U116" s="45" t="str">
        <f t="shared" si="15"/>
        <v/>
      </c>
    </row>
    <row r="117" spans="5:21" x14ac:dyDescent="0.25">
      <c r="E117" s="44"/>
      <c r="F117" s="44" t="str">
        <f>IF(E117="","",IF(VLOOKUP(E117,Employees!A:L,2,0)="","",VLOOKUP(E117,Employees!A:L,2,0)))</f>
        <v/>
      </c>
      <c r="G117" s="44" t="str">
        <f>IF(E117="","",VLOOKUP(F117,Employees!B:M,2,0))</f>
        <v/>
      </c>
      <c r="H117" t="str">
        <f>IFERROR(ROUNDUP(IF(E117="","",((VLOOKUP(E117,Employees!A:L,12,0)-5000)*66.6666/100)),0),"")</f>
        <v/>
      </c>
      <c r="I117" t="str">
        <f t="shared" si="8"/>
        <v/>
      </c>
      <c r="J117" t="str">
        <f t="shared" si="9"/>
        <v/>
      </c>
      <c r="K117" t="str">
        <f t="shared" si="10"/>
        <v/>
      </c>
      <c r="L117" t="str">
        <f t="shared" si="11"/>
        <v/>
      </c>
      <c r="M117" s="44" t="str">
        <f t="shared" si="12"/>
        <v/>
      </c>
      <c r="N117" t="str">
        <f t="shared" si="13"/>
        <v/>
      </c>
      <c r="O117" t="str" cm="1">
        <f t="array" ref="O117">IF(E117="","",_xlfn._xlws.FILTER(#REF!,(#REF!=E117)*(#REF!=$R$4)*(#REF!=$Q$8)))</f>
        <v/>
      </c>
      <c r="P117" t="str">
        <f>IF(E117="","",VLOOKUP(E117,Calculations!$E$21:$P$98,12,0))</f>
        <v/>
      </c>
      <c r="Q117" s="44" t="str">
        <f>IF(E117="","",IF(VLOOKUP(E117,Calculations!$E$22:$U$1048576,17,0)="YES",ROUNDUP((H117*8%),0),0))</f>
        <v/>
      </c>
      <c r="R117" t="str" cm="1">
        <f t="array" ref="R117">IF(E117="","",(N117/30)*(_xlfn._xlws.FILTER(#REF!,(#REF!=E117)*(#REF!=$R$4)*(#REF!=$Q$8))+_xlfn._xlws.FILTER(#REF!,(#REF!=E117)*(#REF!=$R$4)*(#REF!=$Q$8))))</f>
        <v/>
      </c>
      <c r="S117" t="str" cm="1">
        <f t="array" ref="S117">IF(E117="","",ROUNDUP((N117/30)*(_xlfn._xlws.FILTER(#REF!,(#REF!=E117)*(#REF!=$R$4)*(#REF!=$Q$8))),0))</f>
        <v/>
      </c>
      <c r="T117" t="str">
        <f t="shared" si="14"/>
        <v/>
      </c>
      <c r="U117" s="45" t="str">
        <f t="shared" si="15"/>
        <v/>
      </c>
    </row>
    <row r="118" spans="5:21" x14ac:dyDescent="0.25">
      <c r="E118" s="44"/>
      <c r="F118" s="44" t="str">
        <f>IF(E118="","",IF(VLOOKUP(E118,Employees!A:L,2,0)="","",VLOOKUP(E118,Employees!A:L,2,0)))</f>
        <v/>
      </c>
      <c r="G118" s="44" t="str">
        <f>IF(E118="","",VLOOKUP(F118,Employees!B:M,2,0))</f>
        <v/>
      </c>
      <c r="H118" t="str">
        <f>IFERROR(ROUNDUP(IF(E118="","",((VLOOKUP(E118,Employees!A:L,12,0)-5000)*66.6666/100)),0),"")</f>
        <v/>
      </c>
      <c r="I118" t="str">
        <f t="shared" si="8"/>
        <v/>
      </c>
      <c r="J118" t="str">
        <f t="shared" si="9"/>
        <v/>
      </c>
      <c r="K118" t="str">
        <f t="shared" si="10"/>
        <v/>
      </c>
      <c r="L118" t="str">
        <f t="shared" si="11"/>
        <v/>
      </c>
      <c r="M118" s="44" t="str">
        <f t="shared" si="12"/>
        <v/>
      </c>
      <c r="N118" t="str">
        <f t="shared" si="13"/>
        <v/>
      </c>
      <c r="O118" t="str" cm="1">
        <f t="array" ref="O118">IF(E118="","",_xlfn._xlws.FILTER(#REF!,(#REF!=E118)*(#REF!=$R$4)*(#REF!=$Q$8)))</f>
        <v/>
      </c>
      <c r="P118" t="str">
        <f>IF(E118="","",VLOOKUP(E118,Calculations!$E$21:$P$98,12,0))</f>
        <v/>
      </c>
      <c r="Q118" s="44" t="str">
        <f>IF(E118="","",IF(VLOOKUP(E118,Calculations!$E$22:$U$1048576,17,0)="YES",ROUNDUP((H118*8%),0),0))</f>
        <v/>
      </c>
      <c r="R118" t="str" cm="1">
        <f t="array" ref="R118">IF(E118="","",(N118/30)*(_xlfn._xlws.FILTER(#REF!,(#REF!=E118)*(#REF!=$R$4)*(#REF!=$Q$8))+_xlfn._xlws.FILTER(#REF!,(#REF!=E118)*(#REF!=$R$4)*(#REF!=$Q$8))))</f>
        <v/>
      </c>
      <c r="S118" t="str" cm="1">
        <f t="array" ref="S118">IF(E118="","",ROUNDUP((N118/30)*(_xlfn._xlws.FILTER(#REF!,(#REF!=E118)*(#REF!=$R$4)*(#REF!=$Q$8))),0))</f>
        <v/>
      </c>
      <c r="T118" t="str">
        <f t="shared" si="14"/>
        <v/>
      </c>
      <c r="U118" s="45" t="str">
        <f t="shared" si="15"/>
        <v/>
      </c>
    </row>
    <row r="119" spans="5:21" x14ac:dyDescent="0.25">
      <c r="E119" s="44"/>
      <c r="F119" s="44" t="str">
        <f>IF(E119="","",IF(VLOOKUP(E119,Employees!A:L,2,0)="","",VLOOKUP(E119,Employees!A:L,2,0)))</f>
        <v/>
      </c>
      <c r="G119" s="44" t="str">
        <f>IF(E119="","",VLOOKUP(F119,Employees!B:M,2,0))</f>
        <v/>
      </c>
      <c r="H119" t="str">
        <f>IFERROR(ROUNDUP(IF(E119="","",((VLOOKUP(E119,Employees!A:L,12,0)-5000)*66.6666/100)),0),"")</f>
        <v/>
      </c>
      <c r="I119" t="str">
        <f t="shared" si="8"/>
        <v/>
      </c>
      <c r="J119" t="str">
        <f t="shared" si="9"/>
        <v/>
      </c>
      <c r="K119" t="str">
        <f t="shared" si="10"/>
        <v/>
      </c>
      <c r="L119" t="str">
        <f t="shared" si="11"/>
        <v/>
      </c>
      <c r="M119" s="44" t="str">
        <f t="shared" si="12"/>
        <v/>
      </c>
      <c r="N119" t="str">
        <f t="shared" si="13"/>
        <v/>
      </c>
      <c r="O119" t="str" cm="1">
        <f t="array" ref="O119">IF(E119="","",_xlfn._xlws.FILTER(#REF!,(#REF!=E119)*(#REF!=$R$4)*(#REF!=$Q$8)))</f>
        <v/>
      </c>
      <c r="P119" t="str">
        <f>IF(E119="","",VLOOKUP(E119,Calculations!$E$21:$P$98,12,0))</f>
        <v/>
      </c>
      <c r="Q119" s="44" t="str">
        <f>IF(E119="","",IF(VLOOKUP(E119,Calculations!$E$22:$U$1048576,17,0)="YES",ROUNDUP((H119*8%),0),0))</f>
        <v/>
      </c>
      <c r="R119" t="str" cm="1">
        <f t="array" ref="R119">IF(E119="","",(N119/30)*(_xlfn._xlws.FILTER(#REF!,(#REF!=E119)*(#REF!=$R$4)*(#REF!=$Q$8))+_xlfn._xlws.FILTER(#REF!,(#REF!=E119)*(#REF!=$R$4)*(#REF!=$Q$8))))</f>
        <v/>
      </c>
      <c r="S119" t="str" cm="1">
        <f t="array" ref="S119">IF(E119="","",ROUNDUP((N119/30)*(_xlfn._xlws.FILTER(#REF!,(#REF!=E119)*(#REF!=$R$4)*(#REF!=$Q$8))),0))</f>
        <v/>
      </c>
      <c r="T119" t="str">
        <f t="shared" si="14"/>
        <v/>
      </c>
      <c r="U119" s="45" t="str">
        <f t="shared" si="15"/>
        <v/>
      </c>
    </row>
    <row r="120" spans="5:21" x14ac:dyDescent="0.25">
      <c r="E120" s="44"/>
      <c r="F120" s="44" t="str">
        <f>IF(E120="","",IF(VLOOKUP(E120,Employees!A:L,2,0)="","",VLOOKUP(E120,Employees!A:L,2,0)))</f>
        <v/>
      </c>
      <c r="G120" s="44" t="str">
        <f>IF(E120="","",VLOOKUP(F120,Employees!B:M,2,0))</f>
        <v/>
      </c>
      <c r="H120" t="str">
        <f>IFERROR(ROUNDUP(IF(E120="","",((VLOOKUP(E120,Employees!A:L,12,0)-5000)*66.6666/100)),0),"")</f>
        <v/>
      </c>
      <c r="I120" t="str">
        <f t="shared" si="8"/>
        <v/>
      </c>
      <c r="J120" t="str">
        <f t="shared" si="9"/>
        <v/>
      </c>
      <c r="K120" t="str">
        <f t="shared" si="10"/>
        <v/>
      </c>
      <c r="L120" t="str">
        <f t="shared" si="11"/>
        <v/>
      </c>
      <c r="M120" s="44" t="str">
        <f t="shared" si="12"/>
        <v/>
      </c>
      <c r="N120" t="str">
        <f t="shared" si="13"/>
        <v/>
      </c>
      <c r="O120" t="str" cm="1">
        <f t="array" ref="O120">IF(E120="","",_xlfn._xlws.FILTER(#REF!,(#REF!=E120)*(#REF!=$R$4)*(#REF!=$Q$8)))</f>
        <v/>
      </c>
      <c r="P120" t="str">
        <f>IF(E120="","",VLOOKUP(E120,Calculations!$E$21:$P$98,12,0))</f>
        <v/>
      </c>
      <c r="Q120" s="44" t="str">
        <f>IF(E120="","",IF(VLOOKUP(E120,Calculations!$E$22:$U$1048576,17,0)="YES",ROUNDUP((H120*8%),0),0))</f>
        <v/>
      </c>
      <c r="R120" t="str" cm="1">
        <f t="array" ref="R120">IF(E120="","",(N120/30)*(_xlfn._xlws.FILTER(#REF!,(#REF!=E120)*(#REF!=$R$4)*(#REF!=$Q$8))+_xlfn._xlws.FILTER(#REF!,(#REF!=E120)*(#REF!=$R$4)*(#REF!=$Q$8))))</f>
        <v/>
      </c>
      <c r="S120" t="str" cm="1">
        <f t="array" ref="S120">IF(E120="","",ROUNDUP((N120/30)*(_xlfn._xlws.FILTER(#REF!,(#REF!=E120)*(#REF!=$R$4)*(#REF!=$Q$8))),0))</f>
        <v/>
      </c>
      <c r="T120" t="str">
        <f t="shared" si="14"/>
        <v/>
      </c>
      <c r="U120" s="45" t="str">
        <f t="shared" si="15"/>
        <v/>
      </c>
    </row>
    <row r="121" spans="5:21" x14ac:dyDescent="0.25">
      <c r="E121" s="44"/>
      <c r="F121" s="44" t="str">
        <f>IF(E121="","",IF(VLOOKUP(E121,Employees!A:L,2,0)="","",VLOOKUP(E121,Employees!A:L,2,0)))</f>
        <v/>
      </c>
      <c r="G121" s="44" t="str">
        <f>IF(E121="","",VLOOKUP(F121,Employees!B:M,2,0))</f>
        <v/>
      </c>
      <c r="H121" t="str">
        <f>IFERROR(ROUNDUP(IF(E121="","",((VLOOKUP(E121,Employees!A:L,12,0)-5000)*66.6666/100)),0),"")</f>
        <v/>
      </c>
      <c r="I121" t="str">
        <f t="shared" si="8"/>
        <v/>
      </c>
      <c r="J121" t="str">
        <f t="shared" si="9"/>
        <v/>
      </c>
      <c r="K121" t="str">
        <f t="shared" si="10"/>
        <v/>
      </c>
      <c r="L121" t="str">
        <f t="shared" si="11"/>
        <v/>
      </c>
      <c r="M121" s="44" t="str">
        <f t="shared" si="12"/>
        <v/>
      </c>
      <c r="N121" t="str">
        <f t="shared" si="13"/>
        <v/>
      </c>
      <c r="O121" t="str" cm="1">
        <f t="array" ref="O121">IF(E121="","",_xlfn._xlws.FILTER(#REF!,(#REF!=E121)*(#REF!=$R$4)*(#REF!=$Q$8)))</f>
        <v/>
      </c>
      <c r="P121" t="str">
        <f>IF(E121="","",VLOOKUP(E121,Calculations!$E$21:$P$98,12,0))</f>
        <v/>
      </c>
      <c r="Q121" s="44" t="str">
        <f>IF(E121="","",IF(VLOOKUP(E121,Calculations!$E$22:$U$1048576,17,0)="YES",ROUNDUP((H121*8%),0),0))</f>
        <v/>
      </c>
      <c r="R121" t="str" cm="1">
        <f t="array" ref="R121">IF(E121="","",(N121/30)*(_xlfn._xlws.FILTER(#REF!,(#REF!=E121)*(#REF!=$R$4)*(#REF!=$Q$8))+_xlfn._xlws.FILTER(#REF!,(#REF!=E121)*(#REF!=$R$4)*(#REF!=$Q$8))))</f>
        <v/>
      </c>
      <c r="S121" t="str" cm="1">
        <f t="array" ref="S121">IF(E121="","",ROUNDUP((N121/30)*(_xlfn._xlws.FILTER(#REF!,(#REF!=E121)*(#REF!=$R$4)*(#REF!=$Q$8))),0))</f>
        <v/>
      </c>
      <c r="T121" t="str">
        <f t="shared" si="14"/>
        <v/>
      </c>
      <c r="U121" s="45" t="str">
        <f t="shared" si="15"/>
        <v/>
      </c>
    </row>
    <row r="122" spans="5:21" x14ac:dyDescent="0.25">
      <c r="E122" s="44"/>
      <c r="F122" s="44" t="str">
        <f>IF(E122="","",IF(VLOOKUP(E122,Employees!A:L,2,0)="","",VLOOKUP(E122,Employees!A:L,2,0)))</f>
        <v/>
      </c>
      <c r="G122" s="44" t="str">
        <f>IF(E122="","",VLOOKUP(F122,Employees!B:M,2,0))</f>
        <v/>
      </c>
      <c r="H122" t="str">
        <f>IFERROR(ROUNDUP(IF(E122="","",((VLOOKUP(E122,Employees!A:L,12,0)-5000)*66.6666/100)),0),"")</f>
        <v/>
      </c>
      <c r="I122" t="str">
        <f t="shared" si="8"/>
        <v/>
      </c>
      <c r="J122" t="str">
        <f t="shared" si="9"/>
        <v/>
      </c>
      <c r="K122" t="str">
        <f t="shared" si="10"/>
        <v/>
      </c>
      <c r="L122" t="str">
        <f t="shared" si="11"/>
        <v/>
      </c>
      <c r="M122" s="44" t="str">
        <f t="shared" si="12"/>
        <v/>
      </c>
      <c r="N122" t="str">
        <f t="shared" si="13"/>
        <v/>
      </c>
      <c r="O122" t="str" cm="1">
        <f t="array" ref="O122">IF(E122="","",_xlfn._xlws.FILTER(#REF!,(#REF!=E122)*(#REF!=$R$4)*(#REF!=$Q$8)))</f>
        <v/>
      </c>
      <c r="P122" t="str">
        <f>IF(E122="","",VLOOKUP(E122,Calculations!$E$21:$P$98,12,0))</f>
        <v/>
      </c>
      <c r="Q122" s="44" t="str">
        <f>IF(E122="","",IF(VLOOKUP(E122,Calculations!$E$22:$U$1048576,17,0)="YES",ROUNDUP((H122*8%),0),0))</f>
        <v/>
      </c>
      <c r="R122" t="str" cm="1">
        <f t="array" ref="R122">IF(E122="","",(N122/30)*(_xlfn._xlws.FILTER(#REF!,(#REF!=E122)*(#REF!=$R$4)*(#REF!=$Q$8))+_xlfn._xlws.FILTER(#REF!,(#REF!=E122)*(#REF!=$R$4)*(#REF!=$Q$8))))</f>
        <v/>
      </c>
      <c r="S122" t="str" cm="1">
        <f t="array" ref="S122">IF(E122="","",ROUNDUP((N122/30)*(_xlfn._xlws.FILTER(#REF!,(#REF!=E122)*(#REF!=$R$4)*(#REF!=$Q$8))),0))</f>
        <v/>
      </c>
      <c r="T122" t="str">
        <f t="shared" si="14"/>
        <v/>
      </c>
      <c r="U122" s="45" t="str">
        <f t="shared" si="15"/>
        <v/>
      </c>
    </row>
    <row r="123" spans="5:21" x14ac:dyDescent="0.25">
      <c r="E123" s="44"/>
      <c r="F123" s="44" t="str">
        <f>IF(E123="","",IF(VLOOKUP(E123,Employees!A:L,2,0)="","",VLOOKUP(E123,Employees!A:L,2,0)))</f>
        <v/>
      </c>
      <c r="G123" s="44" t="str">
        <f>IF(E123="","",VLOOKUP(F123,Employees!B:M,2,0))</f>
        <v/>
      </c>
      <c r="H123" t="str">
        <f>IFERROR(ROUNDUP(IF(E123="","",((VLOOKUP(E123,Employees!A:L,12,0)-5000)*66.6666/100)),0),"")</f>
        <v/>
      </c>
      <c r="I123" t="str">
        <f t="shared" si="8"/>
        <v/>
      </c>
      <c r="J123" t="str">
        <f t="shared" si="9"/>
        <v/>
      </c>
      <c r="K123" t="str">
        <f t="shared" si="10"/>
        <v/>
      </c>
      <c r="L123" t="str">
        <f t="shared" si="11"/>
        <v/>
      </c>
      <c r="M123" s="44" t="str">
        <f t="shared" si="12"/>
        <v/>
      </c>
      <c r="N123" t="str">
        <f t="shared" si="13"/>
        <v/>
      </c>
      <c r="O123" t="str" cm="1">
        <f t="array" ref="O123">IF(E123="","",_xlfn._xlws.FILTER(#REF!,(#REF!=E123)*(#REF!=$R$4)*(#REF!=$Q$8)))</f>
        <v/>
      </c>
      <c r="P123" t="str">
        <f>IF(E123="","",VLOOKUP(E123,Calculations!$E$21:$P$98,12,0))</f>
        <v/>
      </c>
      <c r="Q123" s="44" t="str">
        <f>IF(E123="","",IF(VLOOKUP(E123,Calculations!$E$22:$U$1048576,17,0)="YES",ROUNDUP((H123*8%),0),0))</f>
        <v/>
      </c>
      <c r="R123" t="str" cm="1">
        <f t="array" ref="R123">IF(E123="","",(N123/30)*(_xlfn._xlws.FILTER(#REF!,(#REF!=E123)*(#REF!=$R$4)*(#REF!=$Q$8))+_xlfn._xlws.FILTER(#REF!,(#REF!=E123)*(#REF!=$R$4)*(#REF!=$Q$8))))</f>
        <v/>
      </c>
      <c r="S123" t="str" cm="1">
        <f t="array" ref="S123">IF(E123="","",ROUNDUP((N123/30)*(_xlfn._xlws.FILTER(#REF!,(#REF!=E123)*(#REF!=$R$4)*(#REF!=$Q$8))),0))</f>
        <v/>
      </c>
      <c r="T123" t="str">
        <f t="shared" si="14"/>
        <v/>
      </c>
      <c r="U123" s="45" t="str">
        <f t="shared" si="15"/>
        <v/>
      </c>
    </row>
    <row r="124" spans="5:21" x14ac:dyDescent="0.25">
      <c r="E124" s="44"/>
      <c r="F124" s="44"/>
      <c r="G124" s="44"/>
      <c r="M124" s="44" t="str">
        <f t="shared" si="12"/>
        <v/>
      </c>
      <c r="Q124" s="44"/>
    </row>
    <row r="125" spans="5:21" x14ac:dyDescent="0.25">
      <c r="E125" s="44"/>
      <c r="F125" s="44"/>
      <c r="G125" s="44"/>
      <c r="M125" s="44" t="str">
        <f t="shared" si="12"/>
        <v/>
      </c>
      <c r="Q125" s="44"/>
    </row>
    <row r="126" spans="5:21" x14ac:dyDescent="0.25">
      <c r="E126" s="44"/>
      <c r="F126" s="44"/>
      <c r="G126" s="44"/>
      <c r="M126" s="44" t="str">
        <f t="shared" si="12"/>
        <v/>
      </c>
      <c r="Q126" s="44"/>
    </row>
    <row r="127" spans="5:21" x14ac:dyDescent="0.25">
      <c r="E127" s="44"/>
      <c r="F127" s="44"/>
      <c r="G127" s="44"/>
      <c r="M127" s="44" t="str">
        <f t="shared" si="12"/>
        <v/>
      </c>
      <c r="Q127" s="44"/>
    </row>
    <row r="128" spans="5:21" x14ac:dyDescent="0.25">
      <c r="E128" s="44"/>
      <c r="F128" s="44"/>
      <c r="G128" s="44"/>
      <c r="M128" s="44" t="str">
        <f t="shared" si="12"/>
        <v/>
      </c>
      <c r="Q128" s="44"/>
    </row>
    <row r="129" spans="5:17" x14ac:dyDescent="0.25">
      <c r="E129" s="44"/>
      <c r="F129" s="44"/>
      <c r="G129" s="44"/>
      <c r="M129" s="44" t="str">
        <f t="shared" si="12"/>
        <v/>
      </c>
      <c r="Q129" s="44"/>
    </row>
    <row r="130" spans="5:17" x14ac:dyDescent="0.25">
      <c r="E130" s="44"/>
      <c r="F130" s="44"/>
      <c r="G130" s="44"/>
      <c r="M130" s="44" t="str">
        <f t="shared" si="12"/>
        <v/>
      </c>
      <c r="Q130" s="44"/>
    </row>
    <row r="131" spans="5:17" x14ac:dyDescent="0.25">
      <c r="E131" s="44"/>
      <c r="F131" s="44"/>
      <c r="G131" s="44"/>
      <c r="M131" s="44" t="str">
        <f t="shared" si="12"/>
        <v/>
      </c>
      <c r="Q131" s="44"/>
    </row>
    <row r="132" spans="5:17" x14ac:dyDescent="0.25">
      <c r="E132" s="44"/>
      <c r="F132" s="44"/>
      <c r="G132" s="44"/>
      <c r="M132" s="44" t="str">
        <f t="shared" si="12"/>
        <v/>
      </c>
      <c r="Q132" s="44"/>
    </row>
    <row r="133" spans="5:17" x14ac:dyDescent="0.25">
      <c r="E133" s="44"/>
      <c r="F133" s="44"/>
      <c r="G133" s="44"/>
      <c r="M133" s="44" t="str">
        <f t="shared" si="12"/>
        <v/>
      </c>
      <c r="Q133" s="44"/>
    </row>
    <row r="134" spans="5:17" x14ac:dyDescent="0.25">
      <c r="E134" s="44"/>
      <c r="F134" s="44"/>
      <c r="G134" s="44"/>
      <c r="M134" s="44" t="str">
        <f t="shared" si="12"/>
        <v/>
      </c>
      <c r="Q134" s="44"/>
    </row>
    <row r="135" spans="5:17" x14ac:dyDescent="0.25">
      <c r="E135" s="44"/>
      <c r="F135" s="44"/>
      <c r="G135" s="44"/>
      <c r="M135" s="44" t="str">
        <f t="shared" si="12"/>
        <v/>
      </c>
      <c r="Q135" s="44"/>
    </row>
    <row r="136" spans="5:17" x14ac:dyDescent="0.25">
      <c r="E136" s="44"/>
      <c r="F136" s="44"/>
      <c r="G136" s="44"/>
      <c r="M136" s="44" t="str">
        <f t="shared" si="12"/>
        <v/>
      </c>
      <c r="Q136" s="44"/>
    </row>
    <row r="137" spans="5:17" x14ac:dyDescent="0.25">
      <c r="E137" s="44"/>
      <c r="F137" s="44"/>
      <c r="G137" s="44"/>
      <c r="M137" s="44" t="str">
        <f t="shared" si="12"/>
        <v/>
      </c>
      <c r="Q137" s="44"/>
    </row>
    <row r="138" spans="5:17" x14ac:dyDescent="0.25">
      <c r="E138" s="44"/>
      <c r="F138" s="44"/>
      <c r="G138" s="44"/>
      <c r="M138" s="44" t="str">
        <f t="shared" si="12"/>
        <v/>
      </c>
      <c r="Q138" s="44"/>
    </row>
    <row r="139" spans="5:17" x14ac:dyDescent="0.25">
      <c r="E139" s="44"/>
      <c r="F139" s="44"/>
      <c r="G139" s="44"/>
      <c r="M139" s="44" t="str">
        <f t="shared" si="12"/>
        <v/>
      </c>
      <c r="Q139" s="44"/>
    </row>
    <row r="140" spans="5:17" x14ac:dyDescent="0.25">
      <c r="E140" s="44"/>
      <c r="F140" s="44"/>
      <c r="G140" s="44"/>
      <c r="M140" s="44" t="str">
        <f t="shared" si="12"/>
        <v/>
      </c>
      <c r="Q140" s="44"/>
    </row>
    <row r="141" spans="5:17" x14ac:dyDescent="0.25">
      <c r="E141" s="44"/>
      <c r="F141" s="44"/>
      <c r="G141" s="44"/>
      <c r="M141" s="44" t="str">
        <f t="shared" si="12"/>
        <v/>
      </c>
      <c r="Q141" s="44"/>
    </row>
    <row r="142" spans="5:17" x14ac:dyDescent="0.25">
      <c r="E142" s="44"/>
      <c r="F142" s="44"/>
      <c r="G142" s="44"/>
      <c r="M142" s="44" t="str">
        <f t="shared" ref="M142:M177" si="16">IF($E142="","",0)</f>
        <v/>
      </c>
      <c r="Q142" s="44"/>
    </row>
    <row r="143" spans="5:17" x14ac:dyDescent="0.25">
      <c r="E143" s="44"/>
      <c r="F143" s="44"/>
      <c r="G143" s="44"/>
      <c r="M143" s="44" t="str">
        <f t="shared" si="16"/>
        <v/>
      </c>
      <c r="Q143" s="44"/>
    </row>
    <row r="144" spans="5:17" x14ac:dyDescent="0.25">
      <c r="E144" s="44"/>
      <c r="F144" s="44"/>
      <c r="G144" s="44"/>
      <c r="M144" s="44" t="str">
        <f t="shared" si="16"/>
        <v/>
      </c>
      <c r="Q144" s="44"/>
    </row>
    <row r="145" spans="5:17" x14ac:dyDescent="0.25">
      <c r="E145" s="44"/>
      <c r="F145" s="44"/>
      <c r="G145" s="44"/>
      <c r="M145" s="44" t="str">
        <f t="shared" si="16"/>
        <v/>
      </c>
      <c r="Q145" s="44"/>
    </row>
    <row r="146" spans="5:17" x14ac:dyDescent="0.25">
      <c r="E146" s="44"/>
      <c r="F146" s="44"/>
      <c r="G146" s="44"/>
      <c r="M146" s="44" t="str">
        <f t="shared" si="16"/>
        <v/>
      </c>
      <c r="Q146" s="44"/>
    </row>
    <row r="147" spans="5:17" x14ac:dyDescent="0.25">
      <c r="E147" s="44"/>
      <c r="F147" s="44"/>
      <c r="G147" s="44"/>
      <c r="M147" s="44" t="str">
        <f t="shared" si="16"/>
        <v/>
      </c>
      <c r="Q147" s="44"/>
    </row>
    <row r="148" spans="5:17" x14ac:dyDescent="0.25">
      <c r="E148" s="44"/>
      <c r="F148" s="44"/>
      <c r="G148" s="44"/>
      <c r="M148" s="44" t="str">
        <f t="shared" si="16"/>
        <v/>
      </c>
      <c r="Q148" s="44"/>
    </row>
    <row r="149" spans="5:17" x14ac:dyDescent="0.25">
      <c r="E149" s="44"/>
      <c r="F149" s="44"/>
      <c r="G149" s="44"/>
      <c r="M149" s="44" t="str">
        <f t="shared" si="16"/>
        <v/>
      </c>
      <c r="Q149" s="44"/>
    </row>
    <row r="150" spans="5:17" x14ac:dyDescent="0.25">
      <c r="E150" s="44"/>
      <c r="F150" s="44"/>
      <c r="G150" s="44"/>
      <c r="M150" s="44" t="str">
        <f t="shared" si="16"/>
        <v/>
      </c>
      <c r="Q150" s="44"/>
    </row>
    <row r="151" spans="5:17" x14ac:dyDescent="0.25">
      <c r="E151" s="44"/>
      <c r="F151" s="44"/>
      <c r="G151" s="44"/>
      <c r="M151" s="44" t="str">
        <f t="shared" si="16"/>
        <v/>
      </c>
      <c r="Q151" s="44"/>
    </row>
    <row r="152" spans="5:17" x14ac:dyDescent="0.25">
      <c r="E152" s="44"/>
      <c r="F152" s="44"/>
      <c r="G152" s="44"/>
      <c r="M152" s="44" t="str">
        <f t="shared" si="16"/>
        <v/>
      </c>
      <c r="Q152" s="44"/>
    </row>
    <row r="153" spans="5:17" x14ac:dyDescent="0.25">
      <c r="E153" s="44"/>
      <c r="F153" s="44"/>
      <c r="G153" s="44"/>
      <c r="M153" s="44" t="str">
        <f t="shared" si="16"/>
        <v/>
      </c>
      <c r="Q153" s="44"/>
    </row>
    <row r="154" spans="5:17" x14ac:dyDescent="0.25">
      <c r="E154" s="44"/>
      <c r="F154" s="44"/>
      <c r="G154" s="44"/>
      <c r="M154" s="44" t="str">
        <f t="shared" si="16"/>
        <v/>
      </c>
      <c r="Q154" s="44"/>
    </row>
    <row r="155" spans="5:17" x14ac:dyDescent="0.25">
      <c r="E155" s="44"/>
      <c r="F155" s="44"/>
      <c r="G155" s="44"/>
      <c r="M155" s="44" t="str">
        <f t="shared" si="16"/>
        <v/>
      </c>
      <c r="Q155" s="44"/>
    </row>
    <row r="156" spans="5:17" x14ac:dyDescent="0.25">
      <c r="E156" s="44"/>
      <c r="F156" s="44"/>
      <c r="G156" s="44"/>
      <c r="M156" s="44" t="str">
        <f t="shared" si="16"/>
        <v/>
      </c>
      <c r="Q156" s="44"/>
    </row>
    <row r="157" spans="5:17" x14ac:dyDescent="0.25">
      <c r="E157" s="44"/>
      <c r="F157" s="44"/>
      <c r="G157" s="44"/>
      <c r="M157" s="44" t="str">
        <f t="shared" si="16"/>
        <v/>
      </c>
      <c r="Q157" s="44"/>
    </row>
    <row r="158" spans="5:17" x14ac:dyDescent="0.25">
      <c r="E158" s="44"/>
      <c r="F158" s="44"/>
      <c r="G158" s="44"/>
      <c r="M158" s="44" t="str">
        <f t="shared" si="16"/>
        <v/>
      </c>
      <c r="Q158" s="44"/>
    </row>
    <row r="159" spans="5:17" x14ac:dyDescent="0.25">
      <c r="E159" s="44"/>
      <c r="F159" s="44"/>
      <c r="G159" s="44"/>
      <c r="M159" s="44" t="str">
        <f t="shared" si="16"/>
        <v/>
      </c>
      <c r="Q159" s="44"/>
    </row>
    <row r="160" spans="5:17" x14ac:dyDescent="0.25">
      <c r="E160" s="44"/>
      <c r="F160" s="44"/>
      <c r="G160" s="44"/>
      <c r="M160" s="44" t="str">
        <f t="shared" si="16"/>
        <v/>
      </c>
      <c r="Q160" s="44"/>
    </row>
    <row r="161" spans="5:17" x14ac:dyDescent="0.25">
      <c r="E161" s="44"/>
      <c r="F161" s="44"/>
      <c r="G161" s="44"/>
      <c r="M161" s="44" t="str">
        <f t="shared" si="16"/>
        <v/>
      </c>
      <c r="Q161" s="44"/>
    </row>
    <row r="162" spans="5:17" x14ac:dyDescent="0.25">
      <c r="E162" s="44"/>
      <c r="F162" s="44"/>
      <c r="G162" s="44"/>
      <c r="M162" s="44" t="str">
        <f t="shared" si="16"/>
        <v/>
      </c>
      <c r="Q162" s="44"/>
    </row>
    <row r="163" spans="5:17" x14ac:dyDescent="0.25">
      <c r="E163" s="44"/>
      <c r="F163" s="44"/>
      <c r="G163" s="44"/>
      <c r="M163" s="44" t="str">
        <f t="shared" si="16"/>
        <v/>
      </c>
      <c r="Q163" s="44"/>
    </row>
    <row r="164" spans="5:17" x14ac:dyDescent="0.25">
      <c r="E164" s="44"/>
      <c r="F164" s="44"/>
      <c r="G164" s="44"/>
      <c r="M164" s="44" t="str">
        <f t="shared" si="16"/>
        <v/>
      </c>
      <c r="Q164" s="44"/>
    </row>
    <row r="165" spans="5:17" x14ac:dyDescent="0.25">
      <c r="E165" s="44"/>
      <c r="F165" s="44"/>
      <c r="G165" s="44"/>
      <c r="M165" s="44" t="str">
        <f t="shared" si="16"/>
        <v/>
      </c>
      <c r="Q165" s="44"/>
    </row>
    <row r="166" spans="5:17" x14ac:dyDescent="0.25">
      <c r="E166" s="44"/>
      <c r="F166" s="44"/>
      <c r="G166" s="44"/>
      <c r="M166" s="44" t="str">
        <f t="shared" si="16"/>
        <v/>
      </c>
      <c r="Q166" s="44"/>
    </row>
    <row r="167" spans="5:17" x14ac:dyDescent="0.25">
      <c r="E167" s="44"/>
      <c r="F167" s="44"/>
      <c r="G167" s="44"/>
      <c r="M167" s="44" t="str">
        <f t="shared" si="16"/>
        <v/>
      </c>
      <c r="Q167" s="44"/>
    </row>
    <row r="168" spans="5:17" x14ac:dyDescent="0.25">
      <c r="E168" s="44"/>
      <c r="F168" s="44"/>
      <c r="G168" s="44"/>
      <c r="M168" s="44" t="str">
        <f t="shared" si="16"/>
        <v/>
      </c>
      <c r="Q168" s="44"/>
    </row>
    <row r="169" spans="5:17" x14ac:dyDescent="0.25">
      <c r="E169" s="44"/>
      <c r="F169" s="44"/>
      <c r="G169" s="44"/>
      <c r="M169" s="44" t="str">
        <f t="shared" si="16"/>
        <v/>
      </c>
      <c r="Q169" s="44"/>
    </row>
    <row r="170" spans="5:17" x14ac:dyDescent="0.25">
      <c r="E170" s="44"/>
      <c r="F170" s="44"/>
      <c r="G170" s="44"/>
      <c r="M170" s="44" t="str">
        <f t="shared" si="16"/>
        <v/>
      </c>
      <c r="Q170" s="44"/>
    </row>
    <row r="171" spans="5:17" x14ac:dyDescent="0.25">
      <c r="E171" s="44"/>
      <c r="F171" s="44"/>
      <c r="G171" s="44"/>
      <c r="M171" s="44" t="str">
        <f t="shared" si="16"/>
        <v/>
      </c>
      <c r="Q171" s="44"/>
    </row>
    <row r="172" spans="5:17" x14ac:dyDescent="0.25">
      <c r="E172" s="44"/>
      <c r="F172" s="44"/>
      <c r="G172" s="44"/>
      <c r="M172" s="44" t="str">
        <f t="shared" si="16"/>
        <v/>
      </c>
    </row>
    <row r="173" spans="5:17" x14ac:dyDescent="0.25">
      <c r="E173" s="44"/>
      <c r="F173" s="44"/>
      <c r="G173" s="44"/>
      <c r="M173" s="44" t="str">
        <f t="shared" si="16"/>
        <v/>
      </c>
    </row>
    <row r="174" spans="5:17" x14ac:dyDescent="0.25">
      <c r="E174" s="44"/>
      <c r="F174" s="44"/>
      <c r="G174" s="44"/>
      <c r="M174" s="44" t="str">
        <f t="shared" si="16"/>
        <v/>
      </c>
    </row>
    <row r="175" spans="5:17" x14ac:dyDescent="0.25">
      <c r="E175" s="44"/>
      <c r="F175" s="44"/>
      <c r="G175" s="44"/>
      <c r="M175" s="44" t="str">
        <f t="shared" si="16"/>
        <v/>
      </c>
    </row>
    <row r="176" spans="5:17" x14ac:dyDescent="0.25">
      <c r="E176" s="44"/>
      <c r="F176" s="44"/>
      <c r="G176" s="44"/>
      <c r="M176" s="44" t="str">
        <f t="shared" si="16"/>
        <v/>
      </c>
    </row>
    <row r="177" spans="5:13" x14ac:dyDescent="0.25">
      <c r="E177" s="44"/>
      <c r="F177" s="44"/>
      <c r="G177" s="44"/>
      <c r="M177" s="44" t="str">
        <f t="shared" si="16"/>
        <v/>
      </c>
    </row>
    <row r="178" spans="5:13" x14ac:dyDescent="0.25">
      <c r="E178" s="44"/>
      <c r="F178" s="44"/>
      <c r="G178" s="44"/>
      <c r="M178" s="44"/>
    </row>
    <row r="179" spans="5:13" x14ac:dyDescent="0.25">
      <c r="E179" s="44"/>
      <c r="F179" s="44"/>
      <c r="G179" s="44"/>
    </row>
    <row r="180" spans="5:13" x14ac:dyDescent="0.25">
      <c r="E180" s="44"/>
      <c r="F180" s="44"/>
      <c r="G180" s="44"/>
    </row>
    <row r="181" spans="5:13" x14ac:dyDescent="0.25">
      <c r="E181" s="44"/>
      <c r="F181" s="44"/>
      <c r="G181" s="44"/>
    </row>
    <row r="182" spans="5:13" x14ac:dyDescent="0.25">
      <c r="E182" s="44"/>
      <c r="F182" s="44"/>
      <c r="G182" s="44"/>
    </row>
    <row r="183" spans="5:13" x14ac:dyDescent="0.25">
      <c r="E183" s="44"/>
      <c r="F183" s="44"/>
      <c r="G183" s="44"/>
    </row>
    <row r="184" spans="5:13" x14ac:dyDescent="0.25">
      <c r="E184" s="44"/>
      <c r="F184" s="44"/>
      <c r="G184" s="44"/>
    </row>
    <row r="185" spans="5:13" x14ac:dyDescent="0.25">
      <c r="E185" s="44"/>
      <c r="F185" s="44"/>
      <c r="G185" s="44"/>
    </row>
    <row r="186" spans="5:13" x14ac:dyDescent="0.25">
      <c r="E186" s="44"/>
      <c r="F186" s="44"/>
      <c r="G186" s="44"/>
    </row>
    <row r="187" spans="5:13" x14ac:dyDescent="0.25">
      <c r="E187" s="44"/>
      <c r="F187" s="44"/>
      <c r="G187" s="44"/>
    </row>
    <row r="188" spans="5:13" x14ac:dyDescent="0.25">
      <c r="E188" s="44"/>
      <c r="F188" s="44"/>
      <c r="G188" s="44"/>
    </row>
    <row r="189" spans="5:13" x14ac:dyDescent="0.25">
      <c r="E189" s="44"/>
      <c r="F189" s="44"/>
      <c r="G189" s="44"/>
    </row>
    <row r="190" spans="5:13" x14ac:dyDescent="0.25">
      <c r="E190" s="44"/>
      <c r="F190" s="44"/>
      <c r="G190" s="44"/>
    </row>
    <row r="191" spans="5:13" x14ac:dyDescent="0.25">
      <c r="E191" s="44"/>
      <c r="F191" s="44"/>
      <c r="G191" s="44"/>
    </row>
    <row r="192" spans="5:13" x14ac:dyDescent="0.25">
      <c r="E192" s="44"/>
      <c r="F192" s="44"/>
      <c r="G192" s="44"/>
    </row>
    <row r="193" spans="5:7" x14ac:dyDescent="0.25">
      <c r="E193" s="44"/>
      <c r="F193" s="44"/>
      <c r="G193" s="44"/>
    </row>
    <row r="194" spans="5:7" x14ac:dyDescent="0.25">
      <c r="E194" s="44"/>
      <c r="F194" s="44"/>
      <c r="G194" s="44"/>
    </row>
    <row r="195" spans="5:7" x14ac:dyDescent="0.25">
      <c r="E195" s="44"/>
      <c r="F195" s="44"/>
      <c r="G195" s="44"/>
    </row>
    <row r="196" spans="5:7" x14ac:dyDescent="0.25">
      <c r="E196" s="44"/>
      <c r="F196" s="44"/>
      <c r="G196" s="44"/>
    </row>
    <row r="197" spans="5:7" x14ac:dyDescent="0.25">
      <c r="E197" s="44"/>
      <c r="F197" s="44"/>
      <c r="G197" s="44"/>
    </row>
    <row r="198" spans="5:7" x14ac:dyDescent="0.25">
      <c r="E198" s="44"/>
      <c r="F198" s="44"/>
      <c r="G198" s="44"/>
    </row>
    <row r="199" spans="5:7" x14ac:dyDescent="0.25">
      <c r="E199" s="44"/>
      <c r="F199" s="44"/>
      <c r="G199" s="44"/>
    </row>
    <row r="200" spans="5:7" x14ac:dyDescent="0.25">
      <c r="E200" s="44"/>
      <c r="F200" s="44"/>
      <c r="G200" s="44"/>
    </row>
    <row r="201" spans="5:7" x14ac:dyDescent="0.25">
      <c r="E201" s="44"/>
      <c r="F201" s="44"/>
      <c r="G201" s="44"/>
    </row>
    <row r="202" spans="5:7" x14ac:dyDescent="0.25">
      <c r="E202" s="44"/>
      <c r="F202" s="44"/>
      <c r="G202" s="44"/>
    </row>
    <row r="203" spans="5:7" x14ac:dyDescent="0.25">
      <c r="E203" s="44"/>
      <c r="F203" s="44"/>
      <c r="G203" s="44"/>
    </row>
    <row r="204" spans="5:7" x14ac:dyDescent="0.25">
      <c r="E204" s="44"/>
      <c r="F204" s="44"/>
      <c r="G204" s="44"/>
    </row>
    <row r="205" spans="5:7" x14ac:dyDescent="0.25">
      <c r="E205" s="44"/>
      <c r="F205" s="44"/>
      <c r="G205" s="44"/>
    </row>
    <row r="206" spans="5:7" x14ac:dyDescent="0.25">
      <c r="E206" s="44"/>
      <c r="F206" s="44"/>
      <c r="G206" s="44"/>
    </row>
    <row r="207" spans="5:7" x14ac:dyDescent="0.25">
      <c r="E207" s="44"/>
      <c r="F207" s="44"/>
      <c r="G207" s="44"/>
    </row>
    <row r="208" spans="5:7" x14ac:dyDescent="0.25">
      <c r="E208" s="44"/>
      <c r="F208" s="44"/>
      <c r="G208" s="44"/>
    </row>
    <row r="209" spans="5:7" x14ac:dyDescent="0.25">
      <c r="E209" s="44"/>
      <c r="F209" s="44"/>
      <c r="G209" s="44"/>
    </row>
    <row r="210" spans="5:7" x14ac:dyDescent="0.25">
      <c r="E210" s="44"/>
      <c r="F210" s="44"/>
      <c r="G210" s="44"/>
    </row>
    <row r="211" spans="5:7" x14ac:dyDescent="0.25">
      <c r="E211" s="44"/>
      <c r="F211" s="44"/>
      <c r="G211" s="44"/>
    </row>
    <row r="212" spans="5:7" x14ac:dyDescent="0.25">
      <c r="E212" s="44"/>
      <c r="F212" s="44"/>
      <c r="G212" s="44"/>
    </row>
    <row r="213" spans="5:7" x14ac:dyDescent="0.25">
      <c r="E213" s="44"/>
      <c r="F213" s="44"/>
      <c r="G213" s="44"/>
    </row>
    <row r="214" spans="5:7" x14ac:dyDescent="0.25">
      <c r="E214" s="44"/>
      <c r="F214" s="44"/>
      <c r="G214" s="44"/>
    </row>
    <row r="215" spans="5:7" x14ac:dyDescent="0.25">
      <c r="E215" s="44"/>
      <c r="F215" s="44"/>
      <c r="G215" s="44"/>
    </row>
    <row r="216" spans="5:7" x14ac:dyDescent="0.25">
      <c r="E216" s="44"/>
      <c r="F216" s="44"/>
      <c r="G216" s="44"/>
    </row>
    <row r="217" spans="5:7" x14ac:dyDescent="0.25">
      <c r="E217" s="44"/>
      <c r="F217" s="44"/>
      <c r="G217" s="44"/>
    </row>
    <row r="218" spans="5:7" x14ac:dyDescent="0.25">
      <c r="E218" s="44"/>
      <c r="F218" s="44"/>
      <c r="G218" s="44"/>
    </row>
    <row r="219" spans="5:7" x14ac:dyDescent="0.25">
      <c r="E219" s="44"/>
      <c r="F219" s="44"/>
      <c r="G219" s="44"/>
    </row>
    <row r="220" spans="5:7" x14ac:dyDescent="0.25">
      <c r="E220" s="44"/>
      <c r="F220" s="44"/>
      <c r="G220" s="44"/>
    </row>
    <row r="221" spans="5:7" x14ac:dyDescent="0.25">
      <c r="E221" s="44"/>
      <c r="F221" s="44"/>
      <c r="G221" s="44"/>
    </row>
    <row r="222" spans="5:7" x14ac:dyDescent="0.25">
      <c r="E222" s="44"/>
      <c r="F222" s="44"/>
      <c r="G222" s="44"/>
    </row>
    <row r="223" spans="5:7" x14ac:dyDescent="0.25">
      <c r="E223" s="44"/>
      <c r="F223" s="44"/>
      <c r="G223" s="44"/>
    </row>
    <row r="224" spans="5:7" x14ac:dyDescent="0.25">
      <c r="E224" s="44"/>
      <c r="F224" s="44"/>
      <c r="G224" s="44"/>
    </row>
    <row r="225" spans="5:7" x14ac:dyDescent="0.25">
      <c r="E225" s="44"/>
      <c r="F225" s="44"/>
      <c r="G225" s="44"/>
    </row>
    <row r="226" spans="5:7" x14ac:dyDescent="0.25">
      <c r="E226" s="44"/>
      <c r="F226" s="44"/>
      <c r="G226" s="44"/>
    </row>
    <row r="227" spans="5:7" x14ac:dyDescent="0.25">
      <c r="E227" s="44"/>
      <c r="F227" s="44"/>
      <c r="G227" s="44"/>
    </row>
    <row r="228" spans="5:7" x14ac:dyDescent="0.25">
      <c r="E228" s="44"/>
      <c r="F228" s="44"/>
      <c r="G228" s="44"/>
    </row>
    <row r="229" spans="5:7" x14ac:dyDescent="0.25">
      <c r="E229" s="44"/>
      <c r="F229" s="44"/>
      <c r="G229" s="44"/>
    </row>
    <row r="230" spans="5:7" x14ac:dyDescent="0.25">
      <c r="E230" s="44"/>
      <c r="F230" s="44"/>
      <c r="G230" s="44"/>
    </row>
    <row r="231" spans="5:7" x14ac:dyDescent="0.25">
      <c r="E231" s="44"/>
      <c r="F231" s="44"/>
      <c r="G231" s="44"/>
    </row>
    <row r="232" spans="5:7" x14ac:dyDescent="0.25">
      <c r="E232" s="44"/>
      <c r="F232" s="44"/>
      <c r="G232" s="44"/>
    </row>
    <row r="233" spans="5:7" x14ac:dyDescent="0.25">
      <c r="E233" s="44"/>
      <c r="F233" s="44"/>
      <c r="G233" s="44"/>
    </row>
    <row r="234" spans="5:7" x14ac:dyDescent="0.25">
      <c r="E234" s="44"/>
      <c r="F234" s="44"/>
      <c r="G234" s="44"/>
    </row>
    <row r="235" spans="5:7" x14ac:dyDescent="0.25">
      <c r="E235" s="44"/>
      <c r="F235" s="44"/>
      <c r="G235" s="44"/>
    </row>
    <row r="236" spans="5:7" x14ac:dyDescent="0.25">
      <c r="E236" s="44"/>
      <c r="F236" s="44"/>
      <c r="G236" s="44"/>
    </row>
    <row r="237" spans="5:7" x14ac:dyDescent="0.25">
      <c r="E237" s="44"/>
      <c r="F237" s="44"/>
      <c r="G237" s="44"/>
    </row>
    <row r="238" spans="5:7" x14ac:dyDescent="0.25">
      <c r="E238" s="44"/>
      <c r="F238" s="44"/>
      <c r="G238" s="44"/>
    </row>
    <row r="239" spans="5:7" x14ac:dyDescent="0.25">
      <c r="E239" s="44"/>
      <c r="F239" s="44"/>
      <c r="G239" s="44"/>
    </row>
    <row r="240" spans="5:7" x14ac:dyDescent="0.25">
      <c r="E240" s="44"/>
      <c r="F240" s="44"/>
      <c r="G240" s="44"/>
    </row>
    <row r="241" spans="5:7" x14ac:dyDescent="0.25">
      <c r="E241" s="44"/>
      <c r="F241" s="44"/>
      <c r="G241" s="44"/>
    </row>
    <row r="242" spans="5:7" x14ac:dyDescent="0.25">
      <c r="E242" s="44"/>
      <c r="F242" s="44"/>
      <c r="G242" s="44"/>
    </row>
    <row r="243" spans="5:7" x14ac:dyDescent="0.25">
      <c r="E243" s="44"/>
      <c r="F243" s="44"/>
      <c r="G243" s="44"/>
    </row>
    <row r="244" spans="5:7" x14ac:dyDescent="0.25">
      <c r="E244" s="44"/>
      <c r="F244" s="44"/>
      <c r="G244" s="44"/>
    </row>
    <row r="245" spans="5:7" x14ac:dyDescent="0.25">
      <c r="E245" s="44"/>
      <c r="F245" s="44"/>
      <c r="G245" s="44"/>
    </row>
    <row r="246" spans="5:7" x14ac:dyDescent="0.25">
      <c r="E246" s="44"/>
      <c r="F246" s="44"/>
      <c r="G246" s="44"/>
    </row>
    <row r="247" spans="5:7" x14ac:dyDescent="0.25">
      <c r="E247" s="44"/>
      <c r="F247" s="44"/>
      <c r="G247" s="44"/>
    </row>
    <row r="248" spans="5:7" x14ac:dyDescent="0.25">
      <c r="E248" s="44"/>
      <c r="F248" s="44"/>
      <c r="G248" s="44"/>
    </row>
    <row r="249" spans="5:7" x14ac:dyDescent="0.25">
      <c r="E249" s="44"/>
      <c r="F249" s="44"/>
      <c r="G249" s="44"/>
    </row>
    <row r="250" spans="5:7" x14ac:dyDescent="0.25">
      <c r="E250" s="44"/>
      <c r="F250" s="44"/>
      <c r="G250" s="44"/>
    </row>
    <row r="251" spans="5:7" x14ac:dyDescent="0.25">
      <c r="E251" s="44"/>
      <c r="F251" s="44"/>
      <c r="G251" s="44"/>
    </row>
    <row r="252" spans="5:7" x14ac:dyDescent="0.25">
      <c r="E252" s="44"/>
      <c r="F252" s="44"/>
      <c r="G252" s="44"/>
    </row>
    <row r="253" spans="5:7" x14ac:dyDescent="0.25">
      <c r="E253" s="44"/>
      <c r="F253" s="44"/>
      <c r="G253" s="44"/>
    </row>
    <row r="254" spans="5:7" x14ac:dyDescent="0.25">
      <c r="E254" s="44"/>
      <c r="F254" s="44"/>
      <c r="G254" s="44"/>
    </row>
    <row r="255" spans="5:7" x14ac:dyDescent="0.25">
      <c r="E255" s="44"/>
      <c r="F255" s="44"/>
      <c r="G255" s="44"/>
    </row>
    <row r="256" spans="5:7" x14ac:dyDescent="0.25">
      <c r="E256" s="44"/>
      <c r="F256" s="44"/>
      <c r="G256" s="44"/>
    </row>
    <row r="257" spans="5:7" x14ac:dyDescent="0.25">
      <c r="E257" s="44"/>
      <c r="F257" s="44"/>
      <c r="G257" s="44"/>
    </row>
    <row r="258" spans="5:7" x14ac:dyDescent="0.25">
      <c r="E258" s="44"/>
      <c r="F258" s="44"/>
      <c r="G258" s="44"/>
    </row>
    <row r="259" spans="5:7" x14ac:dyDescent="0.25">
      <c r="E259" s="44"/>
      <c r="F259" s="44"/>
      <c r="G259" s="44"/>
    </row>
    <row r="260" spans="5:7" x14ac:dyDescent="0.25">
      <c r="E260" s="44"/>
      <c r="F260" s="44"/>
      <c r="G260" s="44"/>
    </row>
    <row r="261" spans="5:7" x14ac:dyDescent="0.25">
      <c r="E261" s="44"/>
      <c r="F261" s="44"/>
      <c r="G261" s="44"/>
    </row>
    <row r="262" spans="5:7" x14ac:dyDescent="0.25">
      <c r="E262" s="44"/>
      <c r="F262" s="44"/>
      <c r="G262" s="44"/>
    </row>
    <row r="263" spans="5:7" x14ac:dyDescent="0.25">
      <c r="E263" s="44"/>
      <c r="F263" s="44"/>
      <c r="G263" s="44"/>
    </row>
    <row r="264" spans="5:7" x14ac:dyDescent="0.25">
      <c r="E264" s="44"/>
      <c r="F264" s="44"/>
      <c r="G264" s="44"/>
    </row>
    <row r="265" spans="5:7" x14ac:dyDescent="0.25">
      <c r="E265" s="44"/>
      <c r="F265" s="44"/>
      <c r="G265" s="44"/>
    </row>
    <row r="266" spans="5:7" x14ac:dyDescent="0.25">
      <c r="E266" s="44"/>
      <c r="F266" s="44"/>
      <c r="G266" s="44"/>
    </row>
    <row r="267" spans="5:7" x14ac:dyDescent="0.25">
      <c r="E267" s="44"/>
      <c r="F267" s="44"/>
      <c r="G267" s="44"/>
    </row>
    <row r="268" spans="5:7" x14ac:dyDescent="0.25">
      <c r="E268" s="44"/>
      <c r="F268" s="44"/>
      <c r="G268" s="44"/>
    </row>
    <row r="269" spans="5:7" x14ac:dyDescent="0.25">
      <c r="E269" s="44"/>
      <c r="F269" s="44"/>
      <c r="G269" s="44"/>
    </row>
    <row r="270" spans="5:7" x14ac:dyDescent="0.25">
      <c r="E270" s="44"/>
      <c r="F270" s="44"/>
      <c r="G270" s="44"/>
    </row>
    <row r="271" spans="5:7" x14ac:dyDescent="0.25">
      <c r="E271" s="44"/>
      <c r="F271" s="44"/>
      <c r="G271" s="44"/>
    </row>
    <row r="272" spans="5:7" x14ac:dyDescent="0.25">
      <c r="E272" s="44"/>
      <c r="F272" s="44"/>
      <c r="G272" s="44"/>
    </row>
    <row r="273" spans="5:7" x14ac:dyDescent="0.25">
      <c r="E273" s="44"/>
      <c r="F273" s="44"/>
      <c r="G273" s="44"/>
    </row>
    <row r="274" spans="5:7" x14ac:dyDescent="0.25">
      <c r="E274" s="44"/>
      <c r="F274" s="44"/>
      <c r="G274" s="44"/>
    </row>
    <row r="275" spans="5:7" x14ac:dyDescent="0.25">
      <c r="E275" s="44"/>
      <c r="F275" s="44"/>
      <c r="G275" s="44"/>
    </row>
    <row r="276" spans="5:7" x14ac:dyDescent="0.25">
      <c r="E276" s="44"/>
      <c r="F276" s="44"/>
      <c r="G276" s="44"/>
    </row>
    <row r="277" spans="5:7" x14ac:dyDescent="0.25">
      <c r="E277" s="44"/>
      <c r="F277" s="44"/>
      <c r="G277" s="44"/>
    </row>
    <row r="278" spans="5:7" x14ac:dyDescent="0.25">
      <c r="E278" s="44"/>
      <c r="F278" s="44"/>
      <c r="G278" s="44"/>
    </row>
    <row r="279" spans="5:7" x14ac:dyDescent="0.25">
      <c r="E279" s="44"/>
      <c r="F279" s="44"/>
      <c r="G279" s="44"/>
    </row>
    <row r="280" spans="5:7" x14ac:dyDescent="0.25">
      <c r="E280" s="44"/>
      <c r="F280" s="44"/>
      <c r="G280" s="44"/>
    </row>
    <row r="281" spans="5:7" x14ac:dyDescent="0.25">
      <c r="E281" s="44"/>
      <c r="F281" s="44"/>
      <c r="G281" s="44"/>
    </row>
    <row r="282" spans="5:7" x14ac:dyDescent="0.25">
      <c r="E282" s="44"/>
      <c r="F282" s="44"/>
      <c r="G282" s="44"/>
    </row>
    <row r="283" spans="5:7" x14ac:dyDescent="0.25">
      <c r="E283" s="44"/>
      <c r="F283" s="44"/>
      <c r="G283" s="44"/>
    </row>
    <row r="284" spans="5:7" x14ac:dyDescent="0.25">
      <c r="E284" s="44"/>
      <c r="F284" s="44"/>
      <c r="G284" s="44"/>
    </row>
    <row r="285" spans="5:7" x14ac:dyDescent="0.25">
      <c r="E285" s="44"/>
      <c r="F285" s="44"/>
      <c r="G285" s="44"/>
    </row>
    <row r="286" spans="5:7" x14ac:dyDescent="0.25">
      <c r="E286" s="44"/>
      <c r="F286" s="44"/>
      <c r="G286" s="44"/>
    </row>
    <row r="287" spans="5:7" x14ac:dyDescent="0.25">
      <c r="E287" s="44"/>
      <c r="F287" s="44"/>
      <c r="G287" s="44"/>
    </row>
    <row r="288" spans="5:7" x14ac:dyDescent="0.25">
      <c r="E288" s="44"/>
      <c r="F288" s="44"/>
      <c r="G288" s="44"/>
    </row>
    <row r="289" spans="5:7" x14ac:dyDescent="0.25">
      <c r="E289" s="44"/>
      <c r="F289" s="44"/>
      <c r="G289" s="44"/>
    </row>
    <row r="290" spans="5:7" x14ac:dyDescent="0.25">
      <c r="E290" s="44"/>
      <c r="F290" s="44"/>
      <c r="G290" s="44"/>
    </row>
    <row r="291" spans="5:7" x14ac:dyDescent="0.25">
      <c r="E291" s="44"/>
      <c r="F291" s="44"/>
      <c r="G291" s="44"/>
    </row>
    <row r="292" spans="5:7" x14ac:dyDescent="0.25">
      <c r="E292" s="44"/>
      <c r="F292" s="44"/>
      <c r="G292" s="44"/>
    </row>
    <row r="293" spans="5:7" x14ac:dyDescent="0.25">
      <c r="E293" s="44"/>
      <c r="F293" s="44"/>
      <c r="G293" s="44"/>
    </row>
    <row r="294" spans="5:7" x14ac:dyDescent="0.25">
      <c r="E294" s="44"/>
      <c r="F294" s="44"/>
      <c r="G294" s="44"/>
    </row>
    <row r="295" spans="5:7" x14ac:dyDescent="0.25">
      <c r="E295" s="44"/>
      <c r="F295" s="44"/>
      <c r="G295" s="44"/>
    </row>
    <row r="296" spans="5:7" x14ac:dyDescent="0.25">
      <c r="E296" s="44"/>
      <c r="F296" s="44"/>
      <c r="G296" s="44"/>
    </row>
    <row r="297" spans="5:7" x14ac:dyDescent="0.25">
      <c r="E297" s="44"/>
      <c r="F297" s="44"/>
      <c r="G297" s="44"/>
    </row>
    <row r="298" spans="5:7" x14ac:dyDescent="0.25">
      <c r="E298" s="44"/>
      <c r="F298" s="44"/>
      <c r="G298" s="44"/>
    </row>
    <row r="299" spans="5:7" x14ac:dyDescent="0.25">
      <c r="E299" s="44"/>
      <c r="F299" s="44"/>
      <c r="G299" s="44"/>
    </row>
    <row r="300" spans="5:7" x14ac:dyDescent="0.25">
      <c r="E300" s="44"/>
      <c r="F300" s="44"/>
      <c r="G300" s="44"/>
    </row>
    <row r="301" spans="5:7" x14ac:dyDescent="0.25">
      <c r="E301" s="44"/>
      <c r="F301" s="44"/>
      <c r="G301" s="44"/>
    </row>
    <row r="302" spans="5:7" x14ac:dyDescent="0.25">
      <c r="E302" s="44"/>
      <c r="F302" s="44"/>
      <c r="G302" s="44"/>
    </row>
    <row r="303" spans="5:7" x14ac:dyDescent="0.25">
      <c r="E303" s="44"/>
      <c r="F303" s="44"/>
      <c r="G303" s="44"/>
    </row>
    <row r="304" spans="5:7" x14ac:dyDescent="0.25">
      <c r="E304" s="44"/>
      <c r="F304" s="44"/>
      <c r="G304" s="44"/>
    </row>
    <row r="305" spans="5:7" x14ac:dyDescent="0.25">
      <c r="E305" s="44"/>
      <c r="F305" s="44"/>
      <c r="G305" s="44"/>
    </row>
  </sheetData>
  <mergeCells count="4">
    <mergeCell ref="H10:M10"/>
    <mergeCell ref="P10:T10"/>
    <mergeCell ref="I6:L6"/>
    <mergeCell ref="E1:U3"/>
  </mergeCells>
  <conditionalFormatting sqref="E12:E35 E306:E1048576">
    <cfRule type="notContainsBlanks" dxfId="8" priority="6">
      <formula>LEN(TRIM(E12))&gt;0</formula>
    </cfRule>
  </conditionalFormatting>
  <conditionalFormatting sqref="F12:G35 F306:G1048576">
    <cfRule type="notContainsBlanks" dxfId="7" priority="7">
      <formula>LEN(TRIM(F12))&gt;0</formula>
    </cfRule>
  </conditionalFormatting>
  <conditionalFormatting sqref="H12:T1048576">
    <cfRule type="notContainsBlanks" dxfId="6" priority="4">
      <formula>LEN(TRIM(H12))&gt;0</formula>
    </cfRule>
  </conditionalFormatting>
  <conditionalFormatting sqref="U13:U1048576">
    <cfRule type="notContainsBlanks" dxfId="5" priority="3">
      <formula>LEN(TRIM(U13))&gt;0</formula>
    </cfRule>
  </conditionalFormatting>
  <conditionalFormatting sqref="G6">
    <cfRule type="notContainsBlanks" dxfId="4" priority="1">
      <formula>LEN(TRIM(G6))&gt;0</formula>
    </cfRule>
    <cfRule type="containsBlanks" dxfId="3" priority="2">
      <formula>LEN(TRIM(G6))=0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51E7BB9-6C0A-4063-88D8-34F12786BB24}">
          <x14:formula1>
            <xm:f>Calculations!$H$4:$H$6</xm:f>
          </x14:formula1>
          <xm:sqref>G6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74B103-057B-4356-A722-D6F3EF359610}">
  <sheetPr codeName="Sheet3"/>
  <dimension ref="D1"/>
  <sheetViews>
    <sheetView workbookViewId="0">
      <selection activeCell="E16" sqref="E16"/>
    </sheetView>
  </sheetViews>
  <sheetFormatPr defaultRowHeight="15" x14ac:dyDescent="0.25"/>
  <cols>
    <col min="1" max="1" width="15.5703125" bestFit="1" customWidth="1"/>
    <col min="2" max="2" width="23" bestFit="1" customWidth="1"/>
    <col min="3" max="3" width="26.85546875" bestFit="1" customWidth="1"/>
    <col min="4" max="4" width="14" style="22" bestFit="1" customWidth="1"/>
    <col min="5" max="5" width="17.140625" bestFit="1" customWidth="1"/>
    <col min="6" max="6" width="15" bestFit="1" customWidth="1"/>
    <col min="7" max="7" width="7.28515625" bestFit="1" customWidth="1"/>
    <col min="8" max="8" width="7.5703125" bestFit="1" customWidth="1"/>
    <col min="9" max="9" width="6.140625" bestFit="1" customWidth="1"/>
    <col min="10" max="10" width="6" bestFit="1" customWidth="1"/>
    <col min="11" max="11" width="6.28515625" bestFit="1" customWidth="1"/>
    <col min="12" max="12" width="5.85546875" bestFit="1" customWidth="1"/>
    <col min="13" max="13" width="6" bestFit="1" customWidth="1"/>
    <col min="14" max="14" width="4.140625" bestFit="1" customWidth="1"/>
    <col min="15" max="15" width="6.140625" bestFit="1" customWidth="1"/>
    <col min="16" max="16" width="7.28515625" bestFit="1" customWidth="1"/>
    <col min="17" max="17" width="7.85546875" bestFit="1" customWidth="1"/>
    <col min="18" max="18" width="6.85546875" bestFit="1" customWidth="1"/>
    <col min="19" max="19" width="5.140625" bestFit="1" customWidth="1"/>
  </cols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671AB-1EAD-44DC-AFE3-7EA25EB14662}">
  <sheetPr codeName="Sheet4"/>
  <dimension ref="A1:AD99"/>
  <sheetViews>
    <sheetView topLeftCell="W58" workbookViewId="0">
      <selection activeCell="AD5" sqref="AD5:AD89"/>
    </sheetView>
  </sheetViews>
  <sheetFormatPr defaultRowHeight="15" x14ac:dyDescent="0.25"/>
  <cols>
    <col min="1" max="1" width="30.140625" bestFit="1" customWidth="1"/>
    <col min="2" max="2" width="10.42578125" bestFit="1" customWidth="1"/>
    <col min="4" max="4" width="10.42578125" bestFit="1" customWidth="1"/>
    <col min="5" max="5" width="22.140625" customWidth="1"/>
    <col min="6" max="6" width="20.7109375" bestFit="1" customWidth="1"/>
    <col min="7" max="7" width="14.28515625" bestFit="1" customWidth="1"/>
    <col min="8" max="8" width="15" bestFit="1" customWidth="1"/>
    <col min="9" max="9" width="38.28515625" bestFit="1" customWidth="1"/>
    <col min="10" max="10" width="15.5703125" customWidth="1"/>
    <col min="11" max="11" width="16.140625" bestFit="1" customWidth="1"/>
    <col min="12" max="12" width="18.140625" bestFit="1" customWidth="1"/>
    <col min="13" max="13" width="16.42578125" bestFit="1" customWidth="1"/>
    <col min="14" max="14" width="18.85546875" bestFit="1" customWidth="1"/>
    <col min="15" max="15" width="12.42578125" bestFit="1" customWidth="1"/>
    <col min="16" max="16" width="11.5703125" bestFit="1" customWidth="1"/>
    <col min="17" max="17" width="11.85546875" bestFit="1" customWidth="1"/>
    <col min="18" max="18" width="13.7109375" bestFit="1" customWidth="1"/>
    <col min="19" max="19" width="11.5703125" bestFit="1" customWidth="1"/>
    <col min="20" max="20" width="10.7109375" bestFit="1" customWidth="1"/>
    <col min="25" max="25" width="26.85546875" bestFit="1" customWidth="1"/>
    <col min="26" max="26" width="14.5703125" customWidth="1"/>
    <col min="27" max="27" width="14" customWidth="1"/>
    <col min="28" max="29" width="13.85546875" customWidth="1"/>
  </cols>
  <sheetData>
    <row r="1" spans="1:30" ht="15.75" thickBot="1" x14ac:dyDescent="0.3"/>
    <row r="2" spans="1:30" x14ac:dyDescent="0.25">
      <c r="A2" s="19" t="s">
        <v>18</v>
      </c>
      <c r="H2" s="33" t="s">
        <v>45</v>
      </c>
      <c r="Y2" t="s">
        <v>86</v>
      </c>
    </row>
    <row r="3" spans="1:30" x14ac:dyDescent="0.25">
      <c r="A3" s="20"/>
      <c r="C3" s="2"/>
      <c r="D3" s="2"/>
      <c r="E3" s="2"/>
      <c r="H3" s="20"/>
    </row>
    <row r="4" spans="1:30" x14ac:dyDescent="0.25">
      <c r="A4" s="20" t="s">
        <v>29</v>
      </c>
      <c r="B4" s="1"/>
      <c r="C4" s="1"/>
      <c r="E4" s="3"/>
      <c r="H4" s="20" t="s">
        <v>11</v>
      </c>
      <c r="Y4" t="s">
        <v>87</v>
      </c>
      <c r="Z4" t="s">
        <v>85</v>
      </c>
      <c r="AA4" t="s">
        <v>3</v>
      </c>
      <c r="AC4" s="67" t="s">
        <v>89</v>
      </c>
      <c r="AD4" t="s">
        <v>90</v>
      </c>
    </row>
    <row r="5" spans="1:30" x14ac:dyDescent="0.25">
      <c r="A5" s="20" t="s">
        <v>16</v>
      </c>
      <c r="B5" s="1"/>
      <c r="E5" s="2"/>
      <c r="F5" s="1"/>
      <c r="H5" s="20" t="s">
        <v>13</v>
      </c>
      <c r="X5">
        <v>1</v>
      </c>
      <c r="Y5" t="str">
        <f>IFERROR(IF(AND(Employees!A3&lt;&gt;"",Employees!D3&lt;&gt;"NULL"),Employees!A3,""),"")</f>
        <v/>
      </c>
      <c r="Z5" t="str">
        <f>IF(Y5="","",VLOOKUP(Y5,Employees!A:W,23,0))</f>
        <v/>
      </c>
      <c r="AA5" t="str">
        <f>IF(Table3[[#This Row],[Joining_Date]]="","",TEXT(Z5,"MMM-YY"))</f>
        <v/>
      </c>
      <c r="AC5" t="str" cm="1">
        <f t="array" ref="AC5">IFERROR(_xlfn.UNIQUE(Table3[Joining Date]),"")</f>
        <v/>
      </c>
      <c r="AD5" t="str">
        <f>IFERROR(IF(AC5="","",COUNTIFS(Table3[Joining Date],AC5)),"")</f>
        <v/>
      </c>
    </row>
    <row r="6" spans="1:30" ht="15.75" thickBot="1" x14ac:dyDescent="0.3">
      <c r="A6" s="21" t="s">
        <v>17</v>
      </c>
      <c r="B6" s="1"/>
      <c r="H6" s="21" t="s">
        <v>12</v>
      </c>
      <c r="X6">
        <v>1</v>
      </c>
      <c r="Y6" t="str">
        <f>IFERROR(IF(AND(Employees!A4&lt;&gt;"",Employees!D4&lt;&gt;"NULL"),Employees!A4,""),"")</f>
        <v/>
      </c>
      <c r="Z6" t="str">
        <f>IF(Y6="","",VLOOKUP(Y6,Employees!A:W,23,0))</f>
        <v/>
      </c>
      <c r="AA6" t="str">
        <f>IF(Table3[[#This Row],[Joining_Date]]="","",TEXT(Z6,"MMM-YY"))</f>
        <v/>
      </c>
      <c r="AD6" t="str">
        <f>IFERROR(IF(AC6="","",COUNTIFS(Table3[Joining Date],AC6)),"")</f>
        <v/>
      </c>
    </row>
    <row r="7" spans="1:30" ht="15.75" thickBot="1" x14ac:dyDescent="0.3">
      <c r="A7" s="1"/>
      <c r="B7" s="1"/>
      <c r="X7">
        <v>1</v>
      </c>
      <c r="Y7" t="str">
        <f>IFERROR(IF(AND(Employees!A5&lt;&gt;"",Employees!D5&lt;&gt;"NULL"),Employees!A5,""),"")</f>
        <v/>
      </c>
      <c r="Z7" t="str">
        <f>IF(Y7="","",VLOOKUP(Y7,Employees!A:W,23,0))</f>
        <v/>
      </c>
      <c r="AA7" t="str">
        <f>IF(Table3[[#This Row],[Joining_Date]]="","",TEXT(Z7,"MMM-YY"))</f>
        <v/>
      </c>
      <c r="AD7" t="str">
        <f>IFERROR(IF(AC7="","",COUNTIFS(Table3[Joining Date],AC7)),"")</f>
        <v/>
      </c>
    </row>
    <row r="8" spans="1:30" x14ac:dyDescent="0.25">
      <c r="A8" s="27" t="s">
        <v>44</v>
      </c>
      <c r="B8" s="28"/>
      <c r="X8">
        <v>1</v>
      </c>
      <c r="Y8" t="str">
        <f>IFERROR(IF(AND(Employees!A6&lt;&gt;"",Employees!D6&lt;&gt;"NULL"),Employees!A6,""),"")</f>
        <v/>
      </c>
      <c r="Z8" t="str">
        <f>IF(Y8="","",VLOOKUP(Y8,Employees!A:W,23,0))</f>
        <v/>
      </c>
      <c r="AA8" t="str">
        <f>IF(Table3[[#This Row],[Joining_Date]]="","",TEXT(Z8,"MMM-YY"))</f>
        <v/>
      </c>
      <c r="AD8" t="str">
        <f>IFERROR(IF(AC8="","",COUNTIFS(Table3[Joining Date],AC8)),"")</f>
        <v/>
      </c>
    </row>
    <row r="9" spans="1:30" x14ac:dyDescent="0.25">
      <c r="A9" s="29" t="s">
        <v>22</v>
      </c>
      <c r="B9" s="30">
        <f>IFERROR(COUNTA(_xlfn.ANCHORARRAY('Payroll Sheet'!E12)),"")</f>
        <v>1</v>
      </c>
      <c r="E9" s="2" t="s">
        <v>46</v>
      </c>
      <c r="I9" s="36">
        <v>44743</v>
      </c>
      <c r="J9" s="37">
        <f>MONTH(I9)</f>
        <v>7</v>
      </c>
      <c r="X9">
        <v>1</v>
      </c>
      <c r="Y9" t="str">
        <f>IFERROR(IF(AND(Employees!A7&lt;&gt;"",Employees!D7&lt;&gt;"NULL"),Employees!A7,""),"")</f>
        <v/>
      </c>
      <c r="Z9" t="str">
        <f>IF(Y9="","",VLOOKUP(Y9,Employees!A:W,23,0))</f>
        <v/>
      </c>
      <c r="AA9" t="str">
        <f>IF(Table3[[#This Row],[Joining_Date]]="","",TEXT(Z9,"MMM-YY"))</f>
        <v/>
      </c>
      <c r="AD9" t="str">
        <f>IFERROR(IF(AC9="","",COUNTIFS(Table3[Joining Date],AC9)),"")</f>
        <v/>
      </c>
    </row>
    <row r="10" spans="1:30" x14ac:dyDescent="0.25">
      <c r="A10" s="31" t="s">
        <v>23</v>
      </c>
      <c r="B10" s="30">
        <f>IFERROR(COUNTIF($V$21:$V$99,"MALE"),"")</f>
        <v>0</v>
      </c>
      <c r="E10" s="2" t="s">
        <v>64</v>
      </c>
      <c r="J10" s="37">
        <f>YEAR(I9)</f>
        <v>2022</v>
      </c>
      <c r="X10">
        <v>1</v>
      </c>
      <c r="Y10" t="str">
        <f>IFERROR(IF(AND(Employees!A8&lt;&gt;"",Employees!D8&lt;&gt;"NULL"),Employees!A8,""),"")</f>
        <v/>
      </c>
      <c r="Z10" t="str">
        <f>IF(Y10="","",VLOOKUP(Y10,Employees!A:W,23,0))</f>
        <v/>
      </c>
      <c r="AA10" t="str">
        <f>IF(Table3[[#This Row],[Joining_Date]]="","",TEXT(Z10,"MMM-YY"))</f>
        <v/>
      </c>
      <c r="AD10" t="str">
        <f>IFERROR(IF(AC10="","",COUNTIFS(Table3[Joining Date],AC10)),"")</f>
        <v/>
      </c>
    </row>
    <row r="11" spans="1:30" x14ac:dyDescent="0.25">
      <c r="A11" s="29" t="s">
        <v>24</v>
      </c>
      <c r="B11" s="30">
        <f>IFERROR(COUNTIF($V$21:$V$99,"FEMALE"),"")</f>
        <v>0</v>
      </c>
      <c r="X11">
        <v>1</v>
      </c>
      <c r="Y11" t="str">
        <f>IFERROR(IF(AND(Employees!A9&lt;&gt;"",Employees!D9&lt;&gt;"NULL"),Employees!A9,""),"")</f>
        <v/>
      </c>
      <c r="Z11" t="str">
        <f>IF(Y11="","",VLOOKUP(Y11,Employees!A:W,23,0))</f>
        <v/>
      </c>
      <c r="AA11" t="str">
        <f>IF(Table3[[#This Row],[Joining_Date]]="","",TEXT(Z11,"MMM-YY"))</f>
        <v/>
      </c>
      <c r="AD11" t="str">
        <f>IFERROR(IF(AC11="","",COUNTIFS(Table3[Joining Date],AC11)),"")</f>
        <v/>
      </c>
    </row>
    <row r="12" spans="1:30" x14ac:dyDescent="0.25">
      <c r="A12" s="29" t="s">
        <v>25</v>
      </c>
      <c r="B12" s="64">
        <f>IFERROR(B10/$B$9,"")</f>
        <v>0</v>
      </c>
      <c r="E12" t="s">
        <v>47</v>
      </c>
      <c r="F12" t="s">
        <v>48</v>
      </c>
      <c r="G12" t="s">
        <v>49</v>
      </c>
      <c r="H12" t="s">
        <v>57</v>
      </c>
      <c r="I12" t="s">
        <v>58</v>
      </c>
      <c r="X12">
        <v>1</v>
      </c>
      <c r="Y12" t="str">
        <f>IFERROR(IF(AND(Employees!A10&lt;&gt;"",Employees!D10&lt;&gt;"NULL"),Employees!A10,""),"")</f>
        <v/>
      </c>
      <c r="Z12" t="str">
        <f>IF(Y12="","",VLOOKUP(Y12,Employees!A:W,23,0))</f>
        <v/>
      </c>
      <c r="AA12" t="str">
        <f>IF(Table3[[#This Row],[Joining_Date]]="","",TEXT(Z12,"MMM-YY"))</f>
        <v/>
      </c>
      <c r="AD12" t="str">
        <f>IFERROR(IF(AC12="","",COUNTIFS(Table3[Joining Date],AC12)),"")</f>
        <v/>
      </c>
    </row>
    <row r="13" spans="1:30" ht="15.75" thickBot="1" x14ac:dyDescent="0.3">
      <c r="A13" s="32" t="s">
        <v>26</v>
      </c>
      <c r="B13" s="65">
        <f>IFERROR(B11/B9,"")</f>
        <v>0</v>
      </c>
      <c r="E13" t="s">
        <v>51</v>
      </c>
      <c r="F13" s="34">
        <v>0</v>
      </c>
      <c r="G13" s="34">
        <v>600000</v>
      </c>
      <c r="H13">
        <v>0</v>
      </c>
      <c r="I13" s="35">
        <v>0</v>
      </c>
      <c r="J13" s="39">
        <v>0</v>
      </c>
      <c r="X13">
        <v>1</v>
      </c>
      <c r="Y13" t="str">
        <f>IFERROR(IF(AND(Employees!A11&lt;&gt;"",Employees!D11&lt;&gt;"NULL"),Employees!A11,""),"")</f>
        <v/>
      </c>
      <c r="Z13" t="str">
        <f>IF(Y13="","",VLOOKUP(Y13,Employees!A:W,23,0))</f>
        <v/>
      </c>
      <c r="AA13" t="str">
        <f>IF(Table3[[#This Row],[Joining_Date]]="","",TEXT(Z13,"MMM-YY"))</f>
        <v/>
      </c>
      <c r="AD13" t="str">
        <f>IFERROR(IF(AC13="","",COUNTIFS(Table3[Joining Date],AC13)),"")</f>
        <v/>
      </c>
    </row>
    <row r="14" spans="1:30" x14ac:dyDescent="0.25">
      <c r="A14" s="1"/>
      <c r="B14" s="1"/>
      <c r="E14" t="s">
        <v>50</v>
      </c>
      <c r="F14" s="34">
        <v>600000</v>
      </c>
      <c r="G14" s="34">
        <v>1200000</v>
      </c>
      <c r="H14">
        <v>0</v>
      </c>
      <c r="I14" t="s">
        <v>56</v>
      </c>
      <c r="J14" s="39">
        <v>2.5000000000000001E-2</v>
      </c>
      <c r="X14">
        <v>1</v>
      </c>
      <c r="Y14" t="str">
        <f>IFERROR(IF(AND(Employees!A12&lt;&gt;"",Employees!D12&lt;&gt;"NULL"),Employees!A12,""),"")</f>
        <v/>
      </c>
      <c r="Z14" t="str">
        <f>IF(Y14="","",VLOOKUP(Y14,Employees!A:W,23,0))</f>
        <v/>
      </c>
      <c r="AA14" t="str">
        <f>IF(Table3[[#This Row],[Joining_Date]]="","",TEXT(Z14,"MMM-YY"))</f>
        <v/>
      </c>
      <c r="AD14" t="str">
        <f>IFERROR(IF(AC14="","",COUNTIFS(Table3[Joining Date],AC14)),"")</f>
        <v/>
      </c>
    </row>
    <row r="15" spans="1:30" x14ac:dyDescent="0.25">
      <c r="A15" s="1"/>
      <c r="B15" s="1"/>
      <c r="E15" t="s">
        <v>52</v>
      </c>
      <c r="F15" s="34">
        <v>1200000</v>
      </c>
      <c r="G15" s="34">
        <v>2400000</v>
      </c>
      <c r="H15">
        <v>15000</v>
      </c>
      <c r="I15" t="s">
        <v>59</v>
      </c>
      <c r="J15" s="39">
        <v>0.125</v>
      </c>
      <c r="X15">
        <v>1</v>
      </c>
      <c r="Y15" t="str">
        <f>IFERROR(IF(AND(Employees!A13&lt;&gt;"",Employees!D13&lt;&gt;"NULL"),Employees!A13,""),"")</f>
        <v/>
      </c>
      <c r="Z15" t="str">
        <f>IF(Y15="","",VLOOKUP(Y15,Employees!A:W,23,0))</f>
        <v/>
      </c>
      <c r="AA15" t="str">
        <f>IF(Table3[[#This Row],[Joining_Date]]="","",TEXT(Z15,"MMM-YY"))</f>
        <v/>
      </c>
      <c r="AD15" t="str">
        <f>IFERROR(IF(AC15="","",COUNTIFS(Table3[Joining Date],AC15)),"")</f>
        <v/>
      </c>
    </row>
    <row r="16" spans="1:30" x14ac:dyDescent="0.25">
      <c r="A16" s="1"/>
      <c r="B16" s="1"/>
      <c r="E16" t="s">
        <v>53</v>
      </c>
      <c r="F16" s="34">
        <v>2400000</v>
      </c>
      <c r="G16" s="34">
        <v>3600000</v>
      </c>
      <c r="H16">
        <v>165000</v>
      </c>
      <c r="I16" t="s">
        <v>60</v>
      </c>
      <c r="J16" s="39">
        <v>0.2</v>
      </c>
      <c r="X16">
        <v>1</v>
      </c>
      <c r="Y16" t="str">
        <f>IFERROR(IF(AND(Employees!A14&lt;&gt;"",Employees!D14&lt;&gt;"NULL"),Employees!A14,""),"")</f>
        <v/>
      </c>
      <c r="Z16" t="str">
        <f>IF(Y16="","",VLOOKUP(Y16,Employees!A:W,23,0))</f>
        <v/>
      </c>
      <c r="AA16" t="str">
        <f>IF(Table3[[#This Row],[Joining_Date]]="","",TEXT(Z16,"MMM-YY"))</f>
        <v/>
      </c>
      <c r="AD16" t="str">
        <f>IFERROR(IF(AC16="","",COUNTIFS(Table3[Joining Date],AC16)),"")</f>
        <v/>
      </c>
    </row>
    <row r="17" spans="1:30" x14ac:dyDescent="0.25">
      <c r="A17" s="1"/>
      <c r="B17" s="1"/>
      <c r="E17" t="s">
        <v>54</v>
      </c>
      <c r="F17" s="34">
        <v>3600000</v>
      </c>
      <c r="G17" s="34">
        <v>6000000</v>
      </c>
      <c r="H17">
        <v>405000</v>
      </c>
      <c r="I17" t="s">
        <v>61</v>
      </c>
      <c r="J17" s="39">
        <v>0.25</v>
      </c>
      <c r="X17">
        <v>1</v>
      </c>
      <c r="Y17" t="str">
        <f>IFERROR(IF(AND(Employees!A15&lt;&gt;"",Employees!D15&lt;&gt;"NULL"),Employees!A15,""),"")</f>
        <v/>
      </c>
      <c r="Z17" t="str">
        <f>IF(Y17="","",VLOOKUP(Y17,Employees!A:W,23,0))</f>
        <v/>
      </c>
      <c r="AA17" t="str">
        <f>IF(Table3[[#This Row],[Joining_Date]]="","",TEXT(Z17,"MMM-YY"))</f>
        <v/>
      </c>
      <c r="AD17" t="str">
        <f>IFERROR(IF(AC17="","",COUNTIFS(Table3[Joining Date],AC17)),"")</f>
        <v/>
      </c>
    </row>
    <row r="18" spans="1:30" x14ac:dyDescent="0.25">
      <c r="A18" s="1"/>
      <c r="B18" s="1"/>
      <c r="E18" t="s">
        <v>55</v>
      </c>
      <c r="F18" s="34">
        <v>6000000</v>
      </c>
      <c r="G18" s="34">
        <v>12000000</v>
      </c>
      <c r="H18">
        <v>1005000</v>
      </c>
      <c r="I18" t="s">
        <v>62</v>
      </c>
      <c r="J18" s="39">
        <v>0.32500000000000001</v>
      </c>
      <c r="X18">
        <v>1</v>
      </c>
      <c r="Y18" t="str">
        <f>IFERROR(IF(AND(Employees!A16&lt;&gt;"",Employees!D16&lt;&gt;"NULL"),Employees!A16,""),"")</f>
        <v/>
      </c>
      <c r="Z18" t="str">
        <f>IF(Y18="","",VLOOKUP(Y18,Employees!A:W,23,0))</f>
        <v/>
      </c>
      <c r="AA18" t="str">
        <f>IF(Table3[[#This Row],[Joining_Date]]="","",TEXT(Z18,"MMM-YY"))</f>
        <v/>
      </c>
      <c r="AD18" t="str">
        <f>IFERROR(IF(AC18="","",COUNTIFS(Table3[Joining Date],AC18)),"")</f>
        <v/>
      </c>
    </row>
    <row r="19" spans="1:30" x14ac:dyDescent="0.25">
      <c r="A19" s="1">
        <f ca="1">IFERROR(TODAY(),"")</f>
        <v>44859</v>
      </c>
      <c r="B19">
        <f ca="1">YEAR(A19)</f>
        <v>2022</v>
      </c>
      <c r="E19" t="s">
        <v>71</v>
      </c>
      <c r="F19" s="34">
        <v>12000000</v>
      </c>
      <c r="H19">
        <v>2955000</v>
      </c>
      <c r="I19" t="s">
        <v>63</v>
      </c>
      <c r="J19" s="39">
        <v>0.35</v>
      </c>
      <c r="X19">
        <v>1</v>
      </c>
      <c r="Y19" t="str">
        <f>IFERROR(IF(AND(Employees!A17&lt;&gt;"",Employees!D17&lt;&gt;"NULL"),Employees!A17,""),"")</f>
        <v/>
      </c>
      <c r="Z19" t="str">
        <f>IF(Y19="","",VLOOKUP(Y19,Employees!A:W,23,0))</f>
        <v/>
      </c>
      <c r="AA19" t="str">
        <f>IF(Table3[[#This Row],[Joining_Date]]="","",TEXT(Z19,"MMM-YY"))</f>
        <v/>
      </c>
      <c r="AD19" t="str">
        <f>IFERROR(IF(AC19="","",COUNTIFS(Table3[Joining Date],AC19)),"")</f>
        <v/>
      </c>
    </row>
    <row r="20" spans="1:30" x14ac:dyDescent="0.25">
      <c r="B20" s="1"/>
      <c r="X20">
        <v>1</v>
      </c>
      <c r="Y20" t="str">
        <f>IFERROR(IF(AND(Employees!A18&lt;&gt;"",Employees!D18&lt;&gt;"NULL"),Employees!A18,""),"")</f>
        <v/>
      </c>
      <c r="Z20" t="str">
        <f>IF(Y20="","",VLOOKUP(Y20,Employees!A:W,23,0))</f>
        <v/>
      </c>
      <c r="AA20" t="str">
        <f>IF(Table3[[#This Row],[Joining_Date]]="","",TEXT(Z20,"MMM-YY"))</f>
        <v/>
      </c>
      <c r="AD20" t="str">
        <f>IFERROR(IF(AC20="","",COUNTIFS(Table3[Joining Date],AC20)),"")</f>
        <v/>
      </c>
    </row>
    <row r="21" spans="1:30" x14ac:dyDescent="0.25">
      <c r="A21" s="2" t="s">
        <v>83</v>
      </c>
      <c r="B21" s="1"/>
      <c r="E21" t="s">
        <v>65</v>
      </c>
      <c r="F21" t="s">
        <v>66</v>
      </c>
      <c r="G21" t="s">
        <v>67</v>
      </c>
      <c r="H21" t="s">
        <v>68</v>
      </c>
      <c r="I21" t="s">
        <v>70</v>
      </c>
      <c r="J21" t="s">
        <v>48</v>
      </c>
      <c r="K21" t="s">
        <v>69</v>
      </c>
      <c r="L21" t="s">
        <v>72</v>
      </c>
      <c r="M21" t="s">
        <v>73</v>
      </c>
      <c r="N21" t="s">
        <v>74</v>
      </c>
      <c r="O21" t="s">
        <v>75</v>
      </c>
      <c r="P21" t="s">
        <v>76</v>
      </c>
      <c r="Q21" t="s">
        <v>3</v>
      </c>
      <c r="R21" t="s">
        <v>78</v>
      </c>
      <c r="S21" t="s">
        <v>79</v>
      </c>
      <c r="T21" t="s">
        <v>80</v>
      </c>
      <c r="U21" t="s">
        <v>81</v>
      </c>
      <c r="V21" t="s">
        <v>27</v>
      </c>
      <c r="X21">
        <v>1</v>
      </c>
      <c r="Y21" t="str">
        <f>IFERROR(IF(AND(Employees!A19&lt;&gt;"",Employees!D19&lt;&gt;"NULL"),Employees!A19,""),"")</f>
        <v/>
      </c>
      <c r="Z21" t="str">
        <f>IF(Y21="","",VLOOKUP(Y21,Employees!A:W,23,0))</f>
        <v/>
      </c>
      <c r="AA21" t="str">
        <f>IF(Table3[[#This Row],[Joining_Date]]="","",TEXT(Z21,"MMM-YY"))</f>
        <v/>
      </c>
      <c r="AD21" t="str">
        <f>IFERROR(IF(AC21="","",COUNTIFS(Table3[Joining Date],AC21)),"")</f>
        <v/>
      </c>
    </row>
    <row r="22" spans="1:30" x14ac:dyDescent="0.25">
      <c r="B22" s="1"/>
      <c r="E22" t="str" cm="1">
        <f t="array" ref="E22">IFERROR(_xlfn.ANCHORARRAY('Payroll Sheet'!E12),"")</f>
        <v/>
      </c>
      <c r="F22" t="str">
        <f>IF(E22="","",VLOOKUP(Calculations!E22,'Payroll Sheet'!E11:N1048576,2,0))</f>
        <v/>
      </c>
      <c r="G22" s="34" t="str">
        <f>IF(E22="","",VLOOKUP(E22,'Payroll Sheet'!$E$11:$U$1048576,10,0))</f>
        <v/>
      </c>
      <c r="H22" s="34" t="str">
        <f>IF(E22="","",G22*12)</f>
        <v/>
      </c>
      <c r="L22" s="34"/>
      <c r="Q22" t="str">
        <f>IF(E22="","",VLOOKUP(E22,#REF!,4,0))</f>
        <v/>
      </c>
      <c r="R22" t="str">
        <f>IF(Q22="","",IF(Q22="NULL","",MONTH(Q22)))</f>
        <v/>
      </c>
      <c r="S22" t="str">
        <f>IF(Q22="","",IF(Q22="NULL","",YEAR(Q22)))</f>
        <v/>
      </c>
      <c r="V22" t="str">
        <f>IF(E22="","",VLOOKUP(E22,Employees!A:Q,17,0))</f>
        <v/>
      </c>
      <c r="X22">
        <v>1</v>
      </c>
      <c r="Y22" t="str">
        <f>IFERROR(IF(AND(Employees!A20&lt;&gt;"",Employees!D20&lt;&gt;"NULL"),Employees!A20,""),"")</f>
        <v/>
      </c>
      <c r="Z22" t="str">
        <f>IF(Y22="","",VLOOKUP(Y22,Employees!A:W,23,0))</f>
        <v/>
      </c>
      <c r="AA22" t="str">
        <f>IF(Table3[[#This Row],[Joining_Date]]="","",TEXT(Z22,"MMM-YY"))</f>
        <v/>
      </c>
      <c r="AD22" t="str">
        <f>IFERROR(IF(AC22="","",COUNTIFS(Table3[Joining Date],AC22)),"")</f>
        <v/>
      </c>
    </row>
    <row r="23" spans="1:30" x14ac:dyDescent="0.25">
      <c r="A23" t="str" cm="1">
        <f t="array" ref="A23">IFERROR(_xlfn._xlws.FILTER(#REF!,(#REF!&gt;DASHBOARD!$E$7)*(#REF!&lt;&gt;"")),"")</f>
        <v/>
      </c>
      <c r="B23" s="1"/>
      <c r="F23" t="str">
        <f>IF(E23="","",VLOOKUP(E23,'Payroll Sheet'!$E$11:$U$1048576,2,0))</f>
        <v/>
      </c>
      <c r="G23" s="34" t="str">
        <f>IF(E23="","",VLOOKUP(E23,'Payroll Sheet'!$E$11:$U$1048576,10,0))</f>
        <v/>
      </c>
      <c r="H23" s="34" t="str">
        <f t="shared" ref="H23:H71" si="0">IF(E23="","",G23*12)</f>
        <v/>
      </c>
      <c r="I23" t="str" cm="1">
        <f t="array" ref="I23">IF(E23="","",_xlfn.IFS(AND(H23&gt;$F$13,H23&lt;=$G$13),$E$13,AND(H23&gt;$F$14,H23&lt;=$G$14),$E$14,AND(H23&gt;$F$15,H23&lt;=$G$15),$E$15,AND(H23&gt;$F$16,H23&lt;=$G$16),$E$16,AND(H23&gt;$F$17,H23&lt;=$G$17),$E$17,AND(H23&gt;$F$18,H23&lt;=$G$18),$E$18,AND(H23&gt;$F$19,H23&lt;=$G$19),$E$19))</f>
        <v/>
      </c>
      <c r="J23" t="str">
        <f>IF(E23="","",VLOOKUP(I23,$E$13:$H$19,2,0))</f>
        <v/>
      </c>
      <c r="K23" s="38" t="str">
        <f>IF(E23="","",H23-J23)</f>
        <v/>
      </c>
      <c r="L23" s="34" t="str">
        <f t="shared" ref="L23:L54" si="1">IF(E23="","",VLOOKUP(I23,$E$13:$H$19,4,0))</f>
        <v/>
      </c>
      <c r="M23" s="39" t="str">
        <f>IF(E23="","",VLOOKUP(I23,$E$13:$J$19,6,0))</f>
        <v/>
      </c>
      <c r="N23" t="str">
        <f>IF(E23="","",(K23*M23))</f>
        <v/>
      </c>
      <c r="O23" t="str">
        <f>IF(E23="","",L23+N23)</f>
        <v/>
      </c>
      <c r="P23" s="34" t="str">
        <f>IF(E23="","",O23/12)</f>
        <v/>
      </c>
      <c r="Q23" t="str">
        <f>IF(E23="","",VLOOKUP(E23,#REF!,4,0))</f>
        <v/>
      </c>
      <c r="R23" t="str">
        <f t="shared" ref="R23:R86" si="2">IF(Q23="","",IF(Q23="NULL","",MONTH(Q23)))</f>
        <v/>
      </c>
      <c r="S23" t="str">
        <f t="shared" ref="S23:S86" si="3">IF(Q23="","",IF(Q23="NULL","",YEAR(Q23)))</f>
        <v/>
      </c>
      <c r="T23" s="58" t="str">
        <f>IF(E23="","",EDATE(Q23,3))</f>
        <v/>
      </c>
      <c r="U23" t="str">
        <f>IF(E23="","",IF(DASHBOARD!$E$7&gt;Calculations!T23,"YES","NO"))</f>
        <v/>
      </c>
      <c r="V23" t="str">
        <f>IF(E23="","",VLOOKUP(E23,Employees!A:Q,17,0))</f>
        <v/>
      </c>
      <c r="X23">
        <v>1</v>
      </c>
      <c r="Y23" t="str">
        <f>IFERROR(IF(AND(Employees!A21&lt;&gt;"",Employees!D21&lt;&gt;"NULL"),Employees!A21,""),"")</f>
        <v/>
      </c>
      <c r="Z23" t="str">
        <f>IF(Y23="","",VLOOKUP(Y23,Employees!A:W,23,0))</f>
        <v/>
      </c>
      <c r="AA23" t="str">
        <f>IF(Table3[[#This Row],[Joining_Date]]="","",TEXT(Z23,"MMM-YY"))</f>
        <v/>
      </c>
      <c r="AD23" t="str">
        <f>IFERROR(IF(AC23="","",COUNTIFS(Table3[Joining Date],AC23)),"")</f>
        <v/>
      </c>
    </row>
    <row r="24" spans="1:30" x14ac:dyDescent="0.25">
      <c r="B24" s="1"/>
      <c r="F24" t="str">
        <f>IF(E24="","",VLOOKUP(E24,'Payroll Sheet'!$E$11:$U$1048576,2,0))</f>
        <v/>
      </c>
      <c r="G24" s="34" t="str">
        <f>IF(E24="","",VLOOKUP(E24,'Payroll Sheet'!$E$11:$U$1048576,10,0))</f>
        <v/>
      </c>
      <c r="H24" s="34" t="str">
        <f t="shared" si="0"/>
        <v/>
      </c>
      <c r="I24" t="str" cm="1">
        <f t="array" ref="I24">IF(E24="","",_xlfn.IFS(AND(H24&gt;$F$13,H24&lt;=$G$13),$E$13,AND(H24&gt;$F$14,H24&lt;=$G$14),$E$14,AND(H24&gt;$F$15,H24&lt;=$G$15),$E$15,AND(H24&gt;$F$16,H24&lt;=$G$16),$E$16,AND(H24&gt;$F$17,H24&lt;=$G$17),$E$17,AND(H24&gt;$F$18,H24&lt;=$G$18),$E$18,AND(H24&gt;$F$19,H24&lt;=$G$19),$E$19))</f>
        <v/>
      </c>
      <c r="J24" t="str">
        <f t="shared" ref="J24:J87" si="4">IF(E24="","",VLOOKUP(I24,$E$13:$H$19,2,0))</f>
        <v/>
      </c>
      <c r="K24" s="38" t="str">
        <f t="shared" ref="K24:K87" si="5">IF(E24="","",H24-J24)</f>
        <v/>
      </c>
      <c r="L24" s="34" t="str">
        <f t="shared" si="1"/>
        <v/>
      </c>
      <c r="M24" s="39" t="str">
        <f t="shared" ref="M24:M87" si="6">IF(E24="","",VLOOKUP(I24,$E$13:$J$19,6,0))</f>
        <v/>
      </c>
      <c r="N24" t="str">
        <f t="shared" ref="N24:N87" si="7">IF(E24="","",(K24*M24))</f>
        <v/>
      </c>
      <c r="O24" t="str">
        <f t="shared" ref="O24:O87" si="8">IF(E24="","",L24+N24)</f>
        <v/>
      </c>
      <c r="P24" s="34" t="str">
        <f t="shared" ref="P24:P87" si="9">IF(E24="","",O24/12)</f>
        <v/>
      </c>
      <c r="Q24" t="str">
        <f>IF(E24="","",VLOOKUP(E24,#REF!,4,0))</f>
        <v/>
      </c>
      <c r="R24" t="str">
        <f t="shared" si="2"/>
        <v/>
      </c>
      <c r="S24" t="str">
        <f t="shared" si="3"/>
        <v/>
      </c>
      <c r="T24" s="58" t="str">
        <f t="shared" ref="T24:T87" si="10">IF(E24="","",EDATE(Q24,3))</f>
        <v/>
      </c>
      <c r="U24" t="str">
        <f>IF(E24="","",IF(DASHBOARD!$E$7&gt;Calculations!T24,"YES","NO"))</f>
        <v/>
      </c>
      <c r="V24" t="str">
        <f>IF(E24="","",VLOOKUP(E24,Employees!A:Q,17,0))</f>
        <v/>
      </c>
      <c r="X24">
        <v>1</v>
      </c>
      <c r="Y24" t="str">
        <f>IFERROR(IF(AND(Employees!A22&lt;&gt;"",Employees!D22&lt;&gt;"NULL"),Employees!A22,""),"")</f>
        <v/>
      </c>
      <c r="Z24" t="str">
        <f>IF(Y24="","",VLOOKUP(Y24,Employees!A:W,23,0))</f>
        <v/>
      </c>
      <c r="AA24" t="str">
        <f>IF(Table3[[#This Row],[Joining_Date]]="","",TEXT(Z24,"MMM-YY"))</f>
        <v/>
      </c>
      <c r="AD24" t="str">
        <f>IFERROR(IF(AC24="","",COUNTIFS(Table3[Joining Date],AC24)),"")</f>
        <v/>
      </c>
    </row>
    <row r="25" spans="1:30" x14ac:dyDescent="0.25">
      <c r="B25" s="1"/>
      <c r="F25" t="str">
        <f>IF(E25="","",VLOOKUP(E25,'Payroll Sheet'!$E$11:$U$1048576,2,0))</f>
        <v/>
      </c>
      <c r="G25" s="34" t="str">
        <f>IF(E25="","",VLOOKUP(E25,'Payroll Sheet'!$E$11:$U$1048576,10,0))</f>
        <v/>
      </c>
      <c r="H25" s="34" t="str">
        <f t="shared" si="0"/>
        <v/>
      </c>
      <c r="I25" t="str" cm="1">
        <f t="array" ref="I25">IF(E25="","",_xlfn.IFS(AND(H25&gt;$F$13,H25&lt;=$G$13),$E$13,AND(H25&gt;$F$14,H25&lt;=$G$14),$E$14,AND(H25&gt;$F$15,H25&lt;=$G$15),$E$15,AND(H25&gt;$F$16,H25&lt;=$G$16),$E$16,AND(H25&gt;$F$17,H25&lt;=$G$17),$E$17,AND(H25&gt;$F$18,H25&lt;=$G$18),$E$18,AND(H25&gt;$F$19,H25&lt;=$G$19),$E$19))</f>
        <v/>
      </c>
      <c r="J25" t="str">
        <f t="shared" si="4"/>
        <v/>
      </c>
      <c r="K25" s="38" t="str">
        <f t="shared" si="5"/>
        <v/>
      </c>
      <c r="L25" s="34" t="str">
        <f t="shared" si="1"/>
        <v/>
      </c>
      <c r="M25" s="39" t="str">
        <f t="shared" si="6"/>
        <v/>
      </c>
      <c r="N25" t="str">
        <f t="shared" si="7"/>
        <v/>
      </c>
      <c r="O25" t="str">
        <f t="shared" si="8"/>
        <v/>
      </c>
      <c r="P25" s="34" t="str">
        <f t="shared" si="9"/>
        <v/>
      </c>
      <c r="Q25" t="str">
        <f>IF(E25="","",VLOOKUP(E25,#REF!,4,0))</f>
        <v/>
      </c>
      <c r="R25" t="str">
        <f t="shared" si="2"/>
        <v/>
      </c>
      <c r="S25" t="str">
        <f t="shared" si="3"/>
        <v/>
      </c>
      <c r="T25" s="58" t="str">
        <f t="shared" si="10"/>
        <v/>
      </c>
      <c r="U25" t="str">
        <f>IF(E25="","",IF(DASHBOARD!$E$7&gt;Calculations!T25,"YES","NO"))</f>
        <v/>
      </c>
      <c r="V25" t="str">
        <f>IF(E25="","",VLOOKUP(E25,Employees!A:Q,17,0))</f>
        <v/>
      </c>
      <c r="X25">
        <v>1</v>
      </c>
      <c r="Y25" t="str">
        <f>IFERROR(IF(AND(Employees!A23&lt;&gt;"",Employees!D23&lt;&gt;"NULL"),Employees!A23,""),"")</f>
        <v/>
      </c>
      <c r="Z25" t="str">
        <f>IF(Y25="","",VLOOKUP(Y25,Employees!A:W,23,0))</f>
        <v/>
      </c>
      <c r="AA25" t="str">
        <f>IF(Table3[[#This Row],[Joining_Date]]="","",TEXT(Z25,"MMM-YY"))</f>
        <v/>
      </c>
      <c r="AD25" t="str">
        <f>IFERROR(IF(AC25="","",COUNTIFS(Table3[Joining Date],AC25)),"")</f>
        <v/>
      </c>
    </row>
    <row r="26" spans="1:30" x14ac:dyDescent="0.25">
      <c r="B26" s="1"/>
      <c r="F26" t="str">
        <f>IF(E26="","",VLOOKUP(E26,'Payroll Sheet'!$E$11:$U$1048576,2,0))</f>
        <v/>
      </c>
      <c r="G26" s="34" t="str">
        <f>IF(E26="","",VLOOKUP(E26,'Payroll Sheet'!$E$11:$U$1048576,10,0))</f>
        <v/>
      </c>
      <c r="H26" s="34" t="str">
        <f t="shared" si="0"/>
        <v/>
      </c>
      <c r="I26" t="str" cm="1">
        <f t="array" ref="I26">IF(E26="","",_xlfn.IFS(AND(H26&gt;$F$13,H26&lt;=$G$13),$E$13,AND(H26&gt;$F$14,H26&lt;=$G$14),$E$14,AND(H26&gt;$F$15,H26&lt;=$G$15),$E$15,AND(H26&gt;$F$16,H26&lt;=$G$16),$E$16,AND(H26&gt;$F$17,H26&lt;=$G$17),$E$17,AND(H26&gt;$F$18,H26&lt;=$G$18),$E$18,AND(H26&gt;$F$19,H26&lt;=$G$19),$E$19))</f>
        <v/>
      </c>
      <c r="J26" t="str">
        <f t="shared" si="4"/>
        <v/>
      </c>
      <c r="K26" s="38" t="str">
        <f t="shared" si="5"/>
        <v/>
      </c>
      <c r="L26" s="34" t="str">
        <f t="shared" si="1"/>
        <v/>
      </c>
      <c r="M26" s="39" t="str">
        <f t="shared" si="6"/>
        <v/>
      </c>
      <c r="N26" t="str">
        <f t="shared" si="7"/>
        <v/>
      </c>
      <c r="O26" t="str">
        <f t="shared" si="8"/>
        <v/>
      </c>
      <c r="P26" s="34" t="str">
        <f t="shared" si="9"/>
        <v/>
      </c>
      <c r="Q26" t="str">
        <f>IF(E26="","",VLOOKUP(E26,#REF!,4,0))</f>
        <v/>
      </c>
      <c r="R26" t="str">
        <f t="shared" si="2"/>
        <v/>
      </c>
      <c r="S26" t="str">
        <f t="shared" si="3"/>
        <v/>
      </c>
      <c r="T26" s="58" t="str">
        <f t="shared" si="10"/>
        <v/>
      </c>
      <c r="U26" t="str">
        <f>IF(E26="","",IF(DASHBOARD!$E$7&gt;Calculations!T26,"YES","NO"))</f>
        <v/>
      </c>
      <c r="V26" t="str">
        <f>IF(E26="","",VLOOKUP(E26,Employees!A:Q,17,0))</f>
        <v/>
      </c>
      <c r="X26">
        <v>1</v>
      </c>
      <c r="Y26" t="str">
        <f>IFERROR(IF(AND(Employees!A24&lt;&gt;"",Employees!D24&lt;&gt;"NULL"),Employees!A24,""),"")</f>
        <v/>
      </c>
      <c r="Z26" t="str">
        <f>IF(Y26="","",VLOOKUP(Y26,Employees!A:W,23,0))</f>
        <v/>
      </c>
      <c r="AA26" t="str">
        <f>IF(Table3[[#This Row],[Joining_Date]]="","",TEXT(Z26,"MMM-YY"))</f>
        <v/>
      </c>
      <c r="AD26" t="str">
        <f>IFERROR(IF(AC26="","",COUNTIFS(Table3[Joining Date],AC26)),"")</f>
        <v/>
      </c>
    </row>
    <row r="27" spans="1:30" x14ac:dyDescent="0.25">
      <c r="B27" s="1"/>
      <c r="F27" t="str">
        <f>IF(E27="","",VLOOKUP(E27,'Payroll Sheet'!$E$11:$U$1048576,2,0))</f>
        <v/>
      </c>
      <c r="G27" s="34" t="str">
        <f>IF(E27="","",VLOOKUP(E27,'Payroll Sheet'!$E$11:$U$1048576,10,0))</f>
        <v/>
      </c>
      <c r="H27" s="34" t="str">
        <f t="shared" si="0"/>
        <v/>
      </c>
      <c r="I27" t="str" cm="1">
        <f t="array" ref="I27">IF(E27="","",_xlfn.IFS(AND(H27&gt;$F$13,H27&lt;=$G$13),$E$13,AND(H27&gt;$F$14,H27&lt;=$G$14),$E$14,AND(H27&gt;$F$15,H27&lt;=$G$15),$E$15,AND(H27&gt;$F$16,H27&lt;=$G$16),$E$16,AND(H27&gt;$F$17,H27&lt;=$G$17),$E$17,AND(H27&gt;$F$18,H27&lt;=$G$18),$E$18,AND(H27&gt;$F$19,H27&lt;=$G$19),$E$19))</f>
        <v/>
      </c>
      <c r="J27" t="str">
        <f t="shared" si="4"/>
        <v/>
      </c>
      <c r="K27" s="38" t="str">
        <f t="shared" si="5"/>
        <v/>
      </c>
      <c r="L27" s="34" t="str">
        <f t="shared" si="1"/>
        <v/>
      </c>
      <c r="M27" s="39" t="str">
        <f t="shared" si="6"/>
        <v/>
      </c>
      <c r="N27" t="str">
        <f t="shared" si="7"/>
        <v/>
      </c>
      <c r="O27" t="str">
        <f t="shared" si="8"/>
        <v/>
      </c>
      <c r="P27" s="34" t="str">
        <f t="shared" si="9"/>
        <v/>
      </c>
      <c r="Q27" t="str">
        <f>IF(E27="","",VLOOKUP(E27,#REF!,4,0))</f>
        <v/>
      </c>
      <c r="R27" t="str">
        <f t="shared" si="2"/>
        <v/>
      </c>
      <c r="S27" t="str">
        <f t="shared" si="3"/>
        <v/>
      </c>
      <c r="T27" s="58" t="str">
        <f t="shared" si="10"/>
        <v/>
      </c>
      <c r="U27" t="str">
        <f>IF(E27="","",IF(DASHBOARD!$E$7&gt;Calculations!T27,"YES","NO"))</f>
        <v/>
      </c>
      <c r="V27" t="str">
        <f>IF(E27="","",VLOOKUP(E27,Employees!A:Q,17,0))</f>
        <v/>
      </c>
      <c r="X27">
        <v>1</v>
      </c>
      <c r="Y27" t="str">
        <f>IFERROR(IF(AND(Employees!A25&lt;&gt;"",Employees!D25&lt;&gt;"NULL"),Employees!A25,""),"")</f>
        <v/>
      </c>
      <c r="Z27" t="str">
        <f>IF(Y27="","",VLOOKUP(Y27,Employees!A:W,23,0))</f>
        <v/>
      </c>
      <c r="AA27" t="str">
        <f>IF(Table3[[#This Row],[Joining_Date]]="","",TEXT(Z27,"MMM-YY"))</f>
        <v/>
      </c>
      <c r="AD27" t="str">
        <f>IFERROR(IF(AC27="","",COUNTIFS(Table3[Joining Date],AC27)),"")</f>
        <v/>
      </c>
    </row>
    <row r="28" spans="1:30" x14ac:dyDescent="0.25">
      <c r="B28" s="1"/>
      <c r="F28" t="str">
        <f>IF(E28="","",VLOOKUP(E28,'Payroll Sheet'!$E$11:$U$1048576,2,0))</f>
        <v/>
      </c>
      <c r="G28" s="34" t="str">
        <f>IF(E28="","",VLOOKUP(E28,'Payroll Sheet'!$E$11:$U$1048576,10,0))</f>
        <v/>
      </c>
      <c r="H28" s="34" t="str">
        <f t="shared" si="0"/>
        <v/>
      </c>
      <c r="I28" t="str" cm="1">
        <f t="array" ref="I28">IF(E28="","",_xlfn.IFS(AND(H28&gt;$F$13,H28&lt;=$G$13),$E$13,AND(H28&gt;$F$14,H28&lt;=$G$14),$E$14,AND(H28&gt;$F$15,H28&lt;=$G$15),$E$15,AND(H28&gt;$F$16,H28&lt;=$G$16),$E$16,AND(H28&gt;$F$17,H28&lt;=$G$17),$E$17,AND(H28&gt;$F$18,H28&lt;=$G$18),$E$18,AND(H28&gt;$F$19,H28&lt;=$G$19),$E$19))</f>
        <v/>
      </c>
      <c r="J28" t="str">
        <f t="shared" si="4"/>
        <v/>
      </c>
      <c r="K28" s="38" t="str">
        <f t="shared" si="5"/>
        <v/>
      </c>
      <c r="L28" s="34" t="str">
        <f t="shared" si="1"/>
        <v/>
      </c>
      <c r="M28" s="39" t="str">
        <f t="shared" si="6"/>
        <v/>
      </c>
      <c r="N28" t="str">
        <f t="shared" si="7"/>
        <v/>
      </c>
      <c r="O28" t="str">
        <f t="shared" si="8"/>
        <v/>
      </c>
      <c r="P28" s="34" t="str">
        <f t="shared" si="9"/>
        <v/>
      </c>
      <c r="Q28" t="str">
        <f>IF(E28="","",VLOOKUP(E28,#REF!,4,0))</f>
        <v/>
      </c>
      <c r="R28" t="str">
        <f t="shared" si="2"/>
        <v/>
      </c>
      <c r="S28" t="str">
        <f t="shared" si="3"/>
        <v/>
      </c>
      <c r="T28" s="58" t="str">
        <f t="shared" si="10"/>
        <v/>
      </c>
      <c r="U28" t="str">
        <f>IF(E28="","",IF(DASHBOARD!$E$7&gt;Calculations!T28,"YES","NO"))</f>
        <v/>
      </c>
      <c r="V28" t="str">
        <f>IF(E28="","",VLOOKUP(E28,Employees!A:Q,17,0))</f>
        <v/>
      </c>
      <c r="X28">
        <v>1</v>
      </c>
      <c r="Y28" t="str">
        <f>IFERROR(IF(AND(Employees!A26&lt;&gt;"",Employees!D26&lt;&gt;"NULL"),Employees!A26,""),"")</f>
        <v/>
      </c>
      <c r="Z28" t="str">
        <f>IF(Y28="","",VLOOKUP(Y28,Employees!A:W,23,0))</f>
        <v/>
      </c>
      <c r="AA28" t="str">
        <f>IF(Table3[[#This Row],[Joining_Date]]="","",TEXT(Z28,"MMM-YY"))</f>
        <v/>
      </c>
      <c r="AD28" t="str">
        <f>IFERROR(IF(AC28="","",COUNTIFS(Table3[Joining Date],AC28)),"")</f>
        <v/>
      </c>
    </row>
    <row r="29" spans="1:30" x14ac:dyDescent="0.25">
      <c r="B29" s="1"/>
      <c r="F29" t="str">
        <f>IF(E29="","",VLOOKUP(E29,'Payroll Sheet'!$E$11:$U$1048576,2,0))</f>
        <v/>
      </c>
      <c r="G29" s="34" t="str">
        <f>IF(E29="","",VLOOKUP(E29,'Payroll Sheet'!$E$11:$U$1048576,10,0))</f>
        <v/>
      </c>
      <c r="H29" s="34" t="str">
        <f t="shared" si="0"/>
        <v/>
      </c>
      <c r="I29" t="str" cm="1">
        <f t="array" ref="I29">IF(E29="","",_xlfn.IFS(AND(H29&gt;$F$13,H29&lt;=$G$13),$E$13,AND(H29&gt;$F$14,H29&lt;=$G$14),$E$14,AND(H29&gt;$F$15,H29&lt;=$G$15),$E$15,AND(H29&gt;$F$16,H29&lt;=$G$16),$E$16,AND(H29&gt;$F$17,H29&lt;=$G$17),$E$17,AND(H29&gt;$F$18,H29&lt;=$G$18),$E$18,AND(H29&gt;$F$19,H29&lt;=$G$19),$E$19))</f>
        <v/>
      </c>
      <c r="J29" t="str">
        <f t="shared" si="4"/>
        <v/>
      </c>
      <c r="K29" s="38" t="str">
        <f t="shared" si="5"/>
        <v/>
      </c>
      <c r="L29" s="34" t="str">
        <f t="shared" si="1"/>
        <v/>
      </c>
      <c r="M29" s="39" t="str">
        <f t="shared" si="6"/>
        <v/>
      </c>
      <c r="N29" t="str">
        <f t="shared" si="7"/>
        <v/>
      </c>
      <c r="O29" t="str">
        <f t="shared" si="8"/>
        <v/>
      </c>
      <c r="P29" s="34" t="str">
        <f t="shared" si="9"/>
        <v/>
      </c>
      <c r="Q29" t="str">
        <f>IF(E29="","",VLOOKUP(E29,#REF!,4,0))</f>
        <v/>
      </c>
      <c r="R29" t="str">
        <f t="shared" si="2"/>
        <v/>
      </c>
      <c r="S29" t="str">
        <f t="shared" si="3"/>
        <v/>
      </c>
      <c r="T29" s="58" t="str">
        <f t="shared" si="10"/>
        <v/>
      </c>
      <c r="U29" t="str">
        <f>IF(E29="","",IF(DASHBOARD!$E$7&gt;Calculations!T29,"YES","NO"))</f>
        <v/>
      </c>
      <c r="V29" t="str">
        <f>IF(E29="","",VLOOKUP(E29,Employees!A:Q,17,0))</f>
        <v/>
      </c>
      <c r="X29">
        <v>1</v>
      </c>
      <c r="Y29" t="str">
        <f>IFERROR(IF(AND(Employees!A27&lt;&gt;"",Employees!D27&lt;&gt;"NULL"),Employees!A27,""),"")</f>
        <v/>
      </c>
      <c r="Z29" t="str">
        <f>IF(Y29="","",VLOOKUP(Y29,Employees!A:W,23,0))</f>
        <v/>
      </c>
      <c r="AA29" t="str">
        <f>IF(Table3[[#This Row],[Joining_Date]]="","",TEXT(Z29,"MMM-YY"))</f>
        <v/>
      </c>
      <c r="AD29" t="str">
        <f>IFERROR(IF(AC29="","",COUNTIFS(Table3[Joining Date],AC29)),"")</f>
        <v/>
      </c>
    </row>
    <row r="30" spans="1:30" x14ac:dyDescent="0.25">
      <c r="B30" s="1"/>
      <c r="F30" t="str">
        <f>IF(E30="","",VLOOKUP(E30,'Payroll Sheet'!$E$11:$U$1048576,2,0))</f>
        <v/>
      </c>
      <c r="G30" s="34" t="str">
        <f>IF(E30="","",VLOOKUP(E30,'Payroll Sheet'!$E$11:$U$1048576,10,0))</f>
        <v/>
      </c>
      <c r="H30" s="34" t="str">
        <f t="shared" si="0"/>
        <v/>
      </c>
      <c r="I30" t="str" cm="1">
        <f t="array" ref="I30">IF(E30="","",_xlfn.IFS(AND(H30&gt;$F$13,H30&lt;=$G$13),$E$13,AND(H30&gt;$F$14,H30&lt;=$G$14),$E$14,AND(H30&gt;$F$15,H30&lt;=$G$15),$E$15,AND(H30&gt;$F$16,H30&lt;=$G$16),$E$16,AND(H30&gt;$F$17,H30&lt;=$G$17),$E$17,AND(H30&gt;$F$18,H30&lt;=$G$18),$E$18,AND(H30&gt;$F$19,H30&lt;=$G$19),$E$19))</f>
        <v/>
      </c>
      <c r="J30" t="str">
        <f t="shared" si="4"/>
        <v/>
      </c>
      <c r="K30" s="38" t="str">
        <f t="shared" si="5"/>
        <v/>
      </c>
      <c r="L30" s="34" t="str">
        <f t="shared" si="1"/>
        <v/>
      </c>
      <c r="M30" s="39" t="str">
        <f t="shared" si="6"/>
        <v/>
      </c>
      <c r="N30" t="str">
        <f t="shared" si="7"/>
        <v/>
      </c>
      <c r="O30" t="str">
        <f t="shared" si="8"/>
        <v/>
      </c>
      <c r="P30" s="34" t="str">
        <f t="shared" si="9"/>
        <v/>
      </c>
      <c r="Q30" t="str">
        <f>IF(E30="","",VLOOKUP(E30,#REF!,4,0))</f>
        <v/>
      </c>
      <c r="R30" t="str">
        <f t="shared" si="2"/>
        <v/>
      </c>
      <c r="S30" t="str">
        <f t="shared" si="3"/>
        <v/>
      </c>
      <c r="T30" s="58" t="str">
        <f t="shared" si="10"/>
        <v/>
      </c>
      <c r="U30" t="str">
        <f>IF(E30="","",IF(DASHBOARD!$E$7&gt;Calculations!T30,"YES","NO"))</f>
        <v/>
      </c>
      <c r="V30" t="str">
        <f>IF(E30="","",VLOOKUP(E30,Employees!A:Q,17,0))</f>
        <v/>
      </c>
      <c r="X30">
        <v>1</v>
      </c>
      <c r="Y30" t="str">
        <f>IFERROR(IF(AND(Employees!A28&lt;&gt;"",Employees!D28&lt;&gt;"NULL"),Employees!A28,""),"")</f>
        <v/>
      </c>
      <c r="Z30" t="str">
        <f>IF(Y30="","",VLOOKUP(Y30,Employees!A:W,23,0))</f>
        <v/>
      </c>
      <c r="AA30" t="str">
        <f>IF(Table3[[#This Row],[Joining_Date]]="","",TEXT(Z30,"MMM-YY"))</f>
        <v/>
      </c>
      <c r="AD30" t="str">
        <f>IFERROR(IF(AC30="","",COUNTIFS(Table3[Joining Date],AC30)),"")</f>
        <v/>
      </c>
    </row>
    <row r="31" spans="1:30" x14ac:dyDescent="0.25">
      <c r="B31" s="1"/>
      <c r="F31" t="str">
        <f>IF(E31="","",VLOOKUP(E31,'Payroll Sheet'!$E$11:$U$1048576,2,0))</f>
        <v/>
      </c>
      <c r="G31" s="34" t="str">
        <f>IF(E31="","",VLOOKUP(E31,'Payroll Sheet'!$E$11:$U$1048576,10,0))</f>
        <v/>
      </c>
      <c r="H31" s="34" t="str">
        <f t="shared" si="0"/>
        <v/>
      </c>
      <c r="I31" t="str" cm="1">
        <f t="array" ref="I31">IF(E31="","",_xlfn.IFS(AND(H31&gt;$F$13,H31&lt;=$G$13),$E$13,AND(H31&gt;$F$14,H31&lt;=$G$14),$E$14,AND(H31&gt;$F$15,H31&lt;=$G$15),$E$15,AND(H31&gt;$F$16,H31&lt;=$G$16),$E$16,AND(H31&gt;$F$17,H31&lt;=$G$17),$E$17,AND(H31&gt;$F$18,H31&lt;=$G$18),$E$18,AND(H31&gt;$F$19,H31&lt;=$G$19),$E$19))</f>
        <v/>
      </c>
      <c r="J31" t="str">
        <f t="shared" si="4"/>
        <v/>
      </c>
      <c r="K31" s="38" t="str">
        <f t="shared" si="5"/>
        <v/>
      </c>
      <c r="L31" s="34" t="str">
        <f t="shared" si="1"/>
        <v/>
      </c>
      <c r="M31" s="39" t="str">
        <f t="shared" si="6"/>
        <v/>
      </c>
      <c r="N31" t="str">
        <f t="shared" si="7"/>
        <v/>
      </c>
      <c r="O31" t="str">
        <f t="shared" si="8"/>
        <v/>
      </c>
      <c r="P31" s="34" t="str">
        <f t="shared" si="9"/>
        <v/>
      </c>
      <c r="Q31" t="str">
        <f>IF(E31="","",VLOOKUP(E31,#REF!,4,0))</f>
        <v/>
      </c>
      <c r="R31" t="str">
        <f t="shared" si="2"/>
        <v/>
      </c>
      <c r="S31" t="str">
        <f t="shared" si="3"/>
        <v/>
      </c>
      <c r="T31" s="58" t="str">
        <f t="shared" si="10"/>
        <v/>
      </c>
      <c r="U31" t="str">
        <f>IF(E31="","",IF(DASHBOARD!$E$7&gt;Calculations!T31,"YES","NO"))</f>
        <v/>
      </c>
      <c r="V31" t="str">
        <f>IF(E31="","",VLOOKUP(E31,Employees!A:Q,17,0))</f>
        <v/>
      </c>
      <c r="X31">
        <v>1</v>
      </c>
      <c r="Y31" t="str">
        <f>IFERROR(IF(AND(Employees!A29&lt;&gt;"",Employees!D29&lt;&gt;"NULL"),Employees!A29,""),"")</f>
        <v/>
      </c>
      <c r="Z31" t="str">
        <f>IF(Y31="","",VLOOKUP(Y31,Employees!A:W,23,0))</f>
        <v/>
      </c>
      <c r="AA31" t="str">
        <f>IF(Table3[[#This Row],[Joining_Date]]="","",TEXT(Z31,"MMM-YY"))</f>
        <v/>
      </c>
      <c r="AD31" t="str">
        <f>IFERROR(IF(AC31="","",COUNTIFS(Table3[Joining Date],AC31)),"")</f>
        <v/>
      </c>
    </row>
    <row r="32" spans="1:30" x14ac:dyDescent="0.25">
      <c r="B32" s="1"/>
      <c r="F32" t="str">
        <f>IF(E32="","",VLOOKUP(E32,'Payroll Sheet'!$E$11:$U$1048576,2,0))</f>
        <v/>
      </c>
      <c r="G32" s="34" t="str">
        <f>IF(E32="","",VLOOKUP(E32,'Payroll Sheet'!$E$11:$U$1048576,10,0))</f>
        <v/>
      </c>
      <c r="H32" s="34" t="str">
        <f t="shared" si="0"/>
        <v/>
      </c>
      <c r="I32" t="str" cm="1">
        <f t="array" ref="I32">IF(E32="","",_xlfn.IFS(AND(H32&gt;$F$13,H32&lt;=$G$13),$E$13,AND(H32&gt;$F$14,H32&lt;=$G$14),$E$14,AND(H32&gt;$F$15,H32&lt;=$G$15),$E$15,AND(H32&gt;$F$16,H32&lt;=$G$16),$E$16,AND(H32&gt;$F$17,H32&lt;=$G$17),$E$17,AND(H32&gt;$F$18,H32&lt;=$G$18),$E$18,AND(H32&gt;$F$19,H32&lt;=$G$19),$E$19))</f>
        <v/>
      </c>
      <c r="J32" t="str">
        <f t="shared" si="4"/>
        <v/>
      </c>
      <c r="K32" s="38" t="str">
        <f t="shared" si="5"/>
        <v/>
      </c>
      <c r="L32" s="34" t="str">
        <f t="shared" si="1"/>
        <v/>
      </c>
      <c r="M32" s="39" t="str">
        <f t="shared" si="6"/>
        <v/>
      </c>
      <c r="N32" t="str">
        <f t="shared" si="7"/>
        <v/>
      </c>
      <c r="O32" t="str">
        <f t="shared" si="8"/>
        <v/>
      </c>
      <c r="P32" s="34" t="str">
        <f t="shared" si="9"/>
        <v/>
      </c>
      <c r="Q32" t="str">
        <f>IF(E32="","",VLOOKUP(E32,#REF!,4,0))</f>
        <v/>
      </c>
      <c r="R32" t="str">
        <f t="shared" si="2"/>
        <v/>
      </c>
      <c r="S32" t="str">
        <f t="shared" si="3"/>
        <v/>
      </c>
      <c r="T32" s="58" t="str">
        <f t="shared" si="10"/>
        <v/>
      </c>
      <c r="U32" t="str">
        <f>IF(E32="","",IF(DASHBOARD!$E$7&gt;Calculations!T32,"YES","NO"))</f>
        <v/>
      </c>
      <c r="V32" t="str">
        <f>IF(E32="","",VLOOKUP(E32,Employees!A:Q,17,0))</f>
        <v/>
      </c>
      <c r="X32">
        <v>1</v>
      </c>
      <c r="Y32" t="str">
        <f>IFERROR(IF(AND(Employees!A30&lt;&gt;"",Employees!D30&lt;&gt;"NULL"),Employees!A30,""),"")</f>
        <v/>
      </c>
      <c r="Z32" t="str">
        <f>IF(Y32="","",VLOOKUP(Y32,Employees!A:W,23,0))</f>
        <v/>
      </c>
      <c r="AA32" t="str">
        <f>IF(Table3[[#This Row],[Joining_Date]]="","",TEXT(Z32,"MMM-YY"))</f>
        <v/>
      </c>
      <c r="AD32" t="str">
        <f>IFERROR(IF(AC32="","",COUNTIFS(Table3[Joining Date],AC32)),"")</f>
        <v/>
      </c>
    </row>
    <row r="33" spans="2:30" x14ac:dyDescent="0.25">
      <c r="B33" s="1"/>
      <c r="F33" t="str">
        <f>IF(E33="","",VLOOKUP(E33,'Payroll Sheet'!$E$11:$U$1048576,2,0))</f>
        <v/>
      </c>
      <c r="G33" s="34" t="str">
        <f>IF(E33="","",VLOOKUP(E33,'Payroll Sheet'!$E$11:$U$1048576,10,0))</f>
        <v/>
      </c>
      <c r="H33" s="34" t="str">
        <f t="shared" si="0"/>
        <v/>
      </c>
      <c r="I33" t="str" cm="1">
        <f t="array" ref="I33">IF(E33="","",_xlfn.IFS(AND(H33&gt;$F$13,H33&lt;=$G$13),$E$13,AND(H33&gt;$F$14,H33&lt;=$G$14),$E$14,AND(H33&gt;$F$15,H33&lt;=$G$15),$E$15,AND(H33&gt;$F$16,H33&lt;=$G$16),$E$16,AND(H33&gt;$F$17,H33&lt;=$G$17),$E$17,AND(H33&gt;$F$18,H33&lt;=$G$18),$E$18,AND(H33&gt;$F$19,H33&lt;=$G$19),$E$19))</f>
        <v/>
      </c>
      <c r="J33" t="str">
        <f t="shared" si="4"/>
        <v/>
      </c>
      <c r="K33" s="38" t="str">
        <f t="shared" si="5"/>
        <v/>
      </c>
      <c r="L33" s="34" t="str">
        <f t="shared" si="1"/>
        <v/>
      </c>
      <c r="M33" s="39" t="str">
        <f t="shared" si="6"/>
        <v/>
      </c>
      <c r="N33" t="str">
        <f t="shared" si="7"/>
        <v/>
      </c>
      <c r="O33" t="str">
        <f t="shared" si="8"/>
        <v/>
      </c>
      <c r="P33" s="34" t="str">
        <f t="shared" si="9"/>
        <v/>
      </c>
      <c r="Q33" t="str">
        <f>IF(E33="","",VLOOKUP(E33,#REF!,4,0))</f>
        <v/>
      </c>
      <c r="R33" t="str">
        <f t="shared" si="2"/>
        <v/>
      </c>
      <c r="S33" t="str">
        <f t="shared" si="3"/>
        <v/>
      </c>
      <c r="T33" s="58" t="str">
        <f t="shared" si="10"/>
        <v/>
      </c>
      <c r="U33" t="str">
        <f>IF(E33="","",IF(DASHBOARD!$E$7&gt;Calculations!T33,"YES","NO"))</f>
        <v/>
      </c>
      <c r="V33" t="str">
        <f>IF(E33="","",VLOOKUP(E33,Employees!A:Q,17,0))</f>
        <v/>
      </c>
      <c r="X33">
        <v>1</v>
      </c>
      <c r="Y33" t="str">
        <f>IFERROR(IF(AND(Employees!A31&lt;&gt;"",Employees!D31&lt;&gt;"NULL"),Employees!A31,""),"")</f>
        <v/>
      </c>
      <c r="Z33" t="str">
        <f>IF(Y33="","",VLOOKUP(Y33,Employees!A:W,23,0))</f>
        <v/>
      </c>
      <c r="AA33" t="str">
        <f>IF(Table3[[#This Row],[Joining_Date]]="","",TEXT(Z33,"MMM-YY"))</f>
        <v/>
      </c>
      <c r="AD33" t="str">
        <f>IFERROR(IF(AC33="","",COUNTIFS(Table3[Joining Date],AC33)),"")</f>
        <v/>
      </c>
    </row>
    <row r="34" spans="2:30" x14ac:dyDescent="0.25">
      <c r="B34" s="1"/>
      <c r="F34" t="str">
        <f>IF(E34="","",VLOOKUP(E34,'Payroll Sheet'!$E$11:$U$1048576,2,0))</f>
        <v/>
      </c>
      <c r="G34" s="34" t="str">
        <f>IF(E34="","",VLOOKUP(E34,'Payroll Sheet'!$E$11:$U$1048576,10,0))</f>
        <v/>
      </c>
      <c r="H34" s="34" t="str">
        <f t="shared" si="0"/>
        <v/>
      </c>
      <c r="I34" t="str" cm="1">
        <f t="array" ref="I34">IF(E34="","",_xlfn.IFS(AND(H34&gt;$F$13,H34&lt;=$G$13),$E$13,AND(H34&gt;$F$14,H34&lt;=$G$14),$E$14,AND(H34&gt;$F$15,H34&lt;=$G$15),$E$15,AND(H34&gt;$F$16,H34&lt;=$G$16),$E$16,AND(H34&gt;$F$17,H34&lt;=$G$17),$E$17,AND(H34&gt;$F$18,H34&lt;=$G$18),$E$18,AND(H34&gt;$F$19,H34&lt;=$G$19),$E$19))</f>
        <v/>
      </c>
      <c r="J34" t="str">
        <f t="shared" si="4"/>
        <v/>
      </c>
      <c r="K34" s="38" t="str">
        <f t="shared" si="5"/>
        <v/>
      </c>
      <c r="L34" s="34" t="str">
        <f t="shared" si="1"/>
        <v/>
      </c>
      <c r="M34" s="39" t="str">
        <f t="shared" si="6"/>
        <v/>
      </c>
      <c r="N34" t="str">
        <f t="shared" si="7"/>
        <v/>
      </c>
      <c r="O34" t="str">
        <f t="shared" si="8"/>
        <v/>
      </c>
      <c r="P34" s="34" t="str">
        <f t="shared" si="9"/>
        <v/>
      </c>
      <c r="Q34" t="str">
        <f>IF(E34="","",VLOOKUP(E34,#REF!,4,0))</f>
        <v/>
      </c>
      <c r="R34" t="str">
        <f t="shared" si="2"/>
        <v/>
      </c>
      <c r="S34" t="str">
        <f t="shared" si="3"/>
        <v/>
      </c>
      <c r="T34" s="58" t="str">
        <f t="shared" si="10"/>
        <v/>
      </c>
      <c r="U34" t="str">
        <f>IF(E34="","",IF(DASHBOARD!$E$7&gt;Calculations!T34,"YES","NO"))</f>
        <v/>
      </c>
      <c r="V34" t="str">
        <f>IF(E34="","",VLOOKUP(E34,Employees!A:Q,17,0))</f>
        <v/>
      </c>
      <c r="X34">
        <v>1</v>
      </c>
      <c r="Y34" t="str">
        <f>IFERROR(IF(AND(Employees!A32&lt;&gt;"",Employees!D32&lt;&gt;"NULL"),Employees!A32,""),"")</f>
        <v/>
      </c>
      <c r="Z34" t="str">
        <f>IF(Y34="","",VLOOKUP(Y34,Employees!A:W,23,0))</f>
        <v/>
      </c>
      <c r="AA34" t="str">
        <f>IF(Table3[[#This Row],[Joining_Date]]="","",TEXT(Z34,"MMM-YY"))</f>
        <v/>
      </c>
      <c r="AD34" t="str">
        <f>IFERROR(IF(AC34="","",COUNTIFS(Table3[Joining Date],AC34)),"")</f>
        <v/>
      </c>
    </row>
    <row r="35" spans="2:30" x14ac:dyDescent="0.25">
      <c r="B35" s="1"/>
      <c r="F35" t="str">
        <f>IF(E35="","",VLOOKUP(E35,'Payroll Sheet'!$E$11:$U$1048576,2,0))</f>
        <v/>
      </c>
      <c r="G35" s="34" t="str">
        <f>IF(E35="","",VLOOKUP(E35,'Payroll Sheet'!$E$11:$U$1048576,10,0))</f>
        <v/>
      </c>
      <c r="H35" s="34" t="str">
        <f t="shared" si="0"/>
        <v/>
      </c>
      <c r="I35" t="str" cm="1">
        <f t="array" ref="I35">IF(E35="","",_xlfn.IFS(AND(H35&gt;$F$13,H35&lt;=$G$13),$E$13,AND(H35&gt;$F$14,H35&lt;=$G$14),$E$14,AND(H35&gt;$F$15,H35&lt;=$G$15),$E$15,AND(H35&gt;$F$16,H35&lt;=$G$16),$E$16,AND(H35&gt;$F$17,H35&lt;=$G$17),$E$17,AND(H35&gt;$F$18,H35&lt;=$G$18),$E$18,AND(H35&gt;$F$19,H35&lt;=$G$19),$E$19))</f>
        <v/>
      </c>
      <c r="J35" t="str">
        <f t="shared" si="4"/>
        <v/>
      </c>
      <c r="K35" s="38" t="str">
        <f t="shared" si="5"/>
        <v/>
      </c>
      <c r="L35" s="34" t="str">
        <f t="shared" si="1"/>
        <v/>
      </c>
      <c r="M35" s="39" t="str">
        <f t="shared" si="6"/>
        <v/>
      </c>
      <c r="N35" t="str">
        <f t="shared" si="7"/>
        <v/>
      </c>
      <c r="O35" t="str">
        <f t="shared" si="8"/>
        <v/>
      </c>
      <c r="P35" s="34" t="str">
        <f t="shared" si="9"/>
        <v/>
      </c>
      <c r="Q35" t="str">
        <f>IF(E35="","",VLOOKUP(E35,#REF!,4,0))</f>
        <v/>
      </c>
      <c r="R35" t="str">
        <f t="shared" si="2"/>
        <v/>
      </c>
      <c r="S35" t="str">
        <f t="shared" si="3"/>
        <v/>
      </c>
      <c r="T35" s="58" t="str">
        <f t="shared" si="10"/>
        <v/>
      </c>
      <c r="U35" t="str">
        <f>IF(E35="","",IF(DASHBOARD!$E$7&gt;Calculations!T35,"YES","NO"))</f>
        <v/>
      </c>
      <c r="V35" t="str">
        <f>IF(E35="","",VLOOKUP(E35,Employees!A:Q,17,0))</f>
        <v/>
      </c>
      <c r="X35">
        <v>1</v>
      </c>
      <c r="Y35" t="str">
        <f>IFERROR(IF(AND(Employees!A33&lt;&gt;"",Employees!D33&lt;&gt;"NULL"),Employees!A33,""),"")</f>
        <v/>
      </c>
      <c r="Z35" t="str">
        <f>IF(Y35="","",VLOOKUP(Y35,Employees!A:W,23,0))</f>
        <v/>
      </c>
      <c r="AA35" t="str">
        <f>IF(Table3[[#This Row],[Joining_Date]]="","",TEXT(Z35,"MMM-YY"))</f>
        <v/>
      </c>
      <c r="AD35" t="str">
        <f>IFERROR(IF(AC35="","",COUNTIFS(Table3[Joining Date],AC35)),"")</f>
        <v/>
      </c>
    </row>
    <row r="36" spans="2:30" x14ac:dyDescent="0.25">
      <c r="B36" s="1"/>
      <c r="F36" t="str">
        <f>IF(E36="","",VLOOKUP(E36,'Payroll Sheet'!$E$11:$U$1048576,2,0))</f>
        <v/>
      </c>
      <c r="G36" s="34" t="str">
        <f>IF(E36="","",VLOOKUP(E36,'Payroll Sheet'!$E$11:$U$1048576,10,0))</f>
        <v/>
      </c>
      <c r="H36" s="34" t="str">
        <f t="shared" si="0"/>
        <v/>
      </c>
      <c r="I36" t="str" cm="1">
        <f t="array" ref="I36">IF(E36="","",_xlfn.IFS(AND(H36&gt;$F$13,H36&lt;=$G$13),$E$13,AND(H36&gt;$F$14,H36&lt;=$G$14),$E$14,AND(H36&gt;$F$15,H36&lt;=$G$15),$E$15,AND(H36&gt;$F$16,H36&lt;=$G$16),$E$16,AND(H36&gt;$F$17,H36&lt;=$G$17),$E$17,AND(H36&gt;$F$18,H36&lt;=$G$18),$E$18,AND(H36&gt;$F$19,H36&lt;=$G$19),$E$19))</f>
        <v/>
      </c>
      <c r="J36" t="str">
        <f t="shared" si="4"/>
        <v/>
      </c>
      <c r="K36" s="38" t="str">
        <f t="shared" si="5"/>
        <v/>
      </c>
      <c r="L36" s="34" t="str">
        <f t="shared" si="1"/>
        <v/>
      </c>
      <c r="M36" s="39" t="str">
        <f t="shared" si="6"/>
        <v/>
      </c>
      <c r="N36" t="str">
        <f t="shared" si="7"/>
        <v/>
      </c>
      <c r="O36" t="str">
        <f t="shared" si="8"/>
        <v/>
      </c>
      <c r="P36" s="34" t="str">
        <f t="shared" si="9"/>
        <v/>
      </c>
      <c r="Q36" t="str">
        <f>IF(E36="","",VLOOKUP(E36,#REF!,4,0))</f>
        <v/>
      </c>
      <c r="R36" t="str">
        <f t="shared" si="2"/>
        <v/>
      </c>
      <c r="S36" t="str">
        <f t="shared" si="3"/>
        <v/>
      </c>
      <c r="T36" s="58" t="str">
        <f t="shared" si="10"/>
        <v/>
      </c>
      <c r="U36" t="str">
        <f>IF(E36="","",IF(DASHBOARD!$E$7&gt;Calculations!T36,"YES","NO"))</f>
        <v/>
      </c>
      <c r="V36" t="str">
        <f>IF(E36="","",VLOOKUP(E36,Employees!A:Q,17,0))</f>
        <v/>
      </c>
      <c r="X36">
        <v>1</v>
      </c>
      <c r="Y36" t="str">
        <f>IFERROR(IF(AND(Employees!A34&lt;&gt;"",Employees!D34&lt;&gt;"NULL"),Employees!A34,""),"")</f>
        <v/>
      </c>
      <c r="Z36" t="str">
        <f>IF(Y36="","",VLOOKUP(Y36,Employees!A:W,23,0))</f>
        <v/>
      </c>
      <c r="AA36" t="str">
        <f>IF(Table3[[#This Row],[Joining_Date]]="","",TEXT(Z36,"MMM-YY"))</f>
        <v/>
      </c>
      <c r="AD36" t="str">
        <f>IFERROR(IF(AC36="","",COUNTIFS(Table3[Joining Date],AC36)),"")</f>
        <v/>
      </c>
    </row>
    <row r="37" spans="2:30" x14ac:dyDescent="0.25">
      <c r="B37" s="1"/>
      <c r="F37" t="str">
        <f>IF(E37="","",VLOOKUP(E37,'Payroll Sheet'!$E$11:$U$1048576,2,0))</f>
        <v/>
      </c>
      <c r="G37" s="34" t="str">
        <f>IF(E37="","",VLOOKUP(E37,'Payroll Sheet'!$E$11:$U$1048576,10,0))</f>
        <v/>
      </c>
      <c r="H37" s="34" t="str">
        <f t="shared" si="0"/>
        <v/>
      </c>
      <c r="I37" t="str" cm="1">
        <f t="array" ref="I37">IF(E37="","",_xlfn.IFS(AND(H37&gt;$F$13,H37&lt;=$G$13),$E$13,AND(H37&gt;$F$14,H37&lt;=$G$14),$E$14,AND(H37&gt;$F$15,H37&lt;=$G$15),$E$15,AND(H37&gt;$F$16,H37&lt;=$G$16),$E$16,AND(H37&gt;$F$17,H37&lt;=$G$17),$E$17,AND(H37&gt;$F$18,H37&lt;=$G$18),$E$18,AND(H37&gt;$F$19,H37&lt;=$G$19),$E$19))</f>
        <v/>
      </c>
      <c r="J37" t="str">
        <f t="shared" si="4"/>
        <v/>
      </c>
      <c r="K37" s="38" t="str">
        <f t="shared" si="5"/>
        <v/>
      </c>
      <c r="L37" s="34" t="str">
        <f t="shared" si="1"/>
        <v/>
      </c>
      <c r="M37" s="39" t="str">
        <f t="shared" si="6"/>
        <v/>
      </c>
      <c r="N37" t="str">
        <f t="shared" si="7"/>
        <v/>
      </c>
      <c r="O37" t="str">
        <f t="shared" si="8"/>
        <v/>
      </c>
      <c r="P37" s="34" t="str">
        <f t="shared" si="9"/>
        <v/>
      </c>
      <c r="Q37" t="str">
        <f>IF(E37="","",VLOOKUP(E37,#REF!,4,0))</f>
        <v/>
      </c>
      <c r="R37" t="str">
        <f t="shared" si="2"/>
        <v/>
      </c>
      <c r="S37" t="str">
        <f t="shared" si="3"/>
        <v/>
      </c>
      <c r="T37" s="58" t="str">
        <f t="shared" si="10"/>
        <v/>
      </c>
      <c r="U37" t="str">
        <f>IF(E37="","",IF(DASHBOARD!$E$7&gt;Calculations!T37,"YES","NO"))</f>
        <v/>
      </c>
      <c r="V37" t="str">
        <f>IF(E37="","",VLOOKUP(E37,Employees!A:Q,17,0))</f>
        <v/>
      </c>
      <c r="X37">
        <v>1</v>
      </c>
      <c r="Y37" t="str">
        <f>IFERROR(IF(AND(Employees!A35&lt;&gt;"",Employees!D35&lt;&gt;"NULL"),Employees!A35,""),"")</f>
        <v/>
      </c>
      <c r="Z37" t="str">
        <f>IF(Y37="","",VLOOKUP(Y37,Employees!A:W,23,0))</f>
        <v/>
      </c>
      <c r="AA37" t="str">
        <f>IF(Table3[[#This Row],[Joining_Date]]="","",TEXT(Z37,"MMM-YY"))</f>
        <v/>
      </c>
      <c r="AD37" t="str">
        <f>IFERROR(IF(AC37="","",COUNTIFS(Table3[Joining Date],AC37)),"")</f>
        <v/>
      </c>
    </row>
    <row r="38" spans="2:30" x14ac:dyDescent="0.25">
      <c r="B38" s="1"/>
      <c r="F38" t="str">
        <f>IF(E38="","",VLOOKUP(E38,'Payroll Sheet'!$E$11:$U$1048576,2,0))</f>
        <v/>
      </c>
      <c r="G38" s="34" t="str">
        <f>IF(E38="","",VLOOKUP(E38,'Payroll Sheet'!$E$11:$U$1048576,10,0))</f>
        <v/>
      </c>
      <c r="H38" s="34" t="str">
        <f t="shared" si="0"/>
        <v/>
      </c>
      <c r="I38" t="str" cm="1">
        <f t="array" ref="I38">IF(E38="","",_xlfn.IFS(AND(H38&gt;$F$13,H38&lt;=$G$13),$E$13,AND(H38&gt;$F$14,H38&lt;=$G$14),$E$14,AND(H38&gt;$F$15,H38&lt;=$G$15),$E$15,AND(H38&gt;$F$16,H38&lt;=$G$16),$E$16,AND(H38&gt;$F$17,H38&lt;=$G$17),$E$17,AND(H38&gt;$F$18,H38&lt;=$G$18),$E$18,AND(H38&gt;$F$19,H38&lt;=$G$19),$E$19))</f>
        <v/>
      </c>
      <c r="J38" t="str">
        <f t="shared" si="4"/>
        <v/>
      </c>
      <c r="K38" s="38" t="str">
        <f t="shared" si="5"/>
        <v/>
      </c>
      <c r="L38" s="34" t="str">
        <f t="shared" si="1"/>
        <v/>
      </c>
      <c r="M38" s="39" t="str">
        <f t="shared" si="6"/>
        <v/>
      </c>
      <c r="N38" t="str">
        <f t="shared" si="7"/>
        <v/>
      </c>
      <c r="O38" t="str">
        <f t="shared" si="8"/>
        <v/>
      </c>
      <c r="P38" s="34" t="str">
        <f t="shared" si="9"/>
        <v/>
      </c>
      <c r="Q38" t="str">
        <f>IF(E38="","",VLOOKUP(E38,#REF!,4,0))</f>
        <v/>
      </c>
      <c r="R38" t="str">
        <f t="shared" si="2"/>
        <v/>
      </c>
      <c r="S38" t="str">
        <f t="shared" si="3"/>
        <v/>
      </c>
      <c r="T38" s="58" t="str">
        <f t="shared" si="10"/>
        <v/>
      </c>
      <c r="U38" t="str">
        <f>IF(E38="","",IF(DASHBOARD!$E$7&gt;Calculations!T38,"YES","NO"))</f>
        <v/>
      </c>
      <c r="V38" t="str">
        <f>IF(E38="","",VLOOKUP(E38,Employees!A:Q,17,0))</f>
        <v/>
      </c>
      <c r="X38">
        <v>1</v>
      </c>
      <c r="Y38" t="str">
        <f>IFERROR(IF(AND(Employees!A36&lt;&gt;"",Employees!D36&lt;&gt;"NULL"),Employees!A36,""),"")</f>
        <v/>
      </c>
      <c r="Z38" t="str">
        <f>IF(Y38="","",VLOOKUP(Y38,Employees!A:W,23,0))</f>
        <v/>
      </c>
      <c r="AA38" t="str">
        <f>IF(Table3[[#This Row],[Joining_Date]]="","",TEXT(Z38,"MMM-YY"))</f>
        <v/>
      </c>
      <c r="AD38" t="str">
        <f>IFERROR(IF(AC38="","",COUNTIFS(Table3[Joining Date],AC38)),"")</f>
        <v/>
      </c>
    </row>
    <row r="39" spans="2:30" x14ac:dyDescent="0.25">
      <c r="B39" s="1"/>
      <c r="F39" t="str">
        <f>IF(E39="","",VLOOKUP(E39,'Payroll Sheet'!$E$11:$U$1048576,2,0))</f>
        <v/>
      </c>
      <c r="G39" s="34" t="str">
        <f>IF(E39="","",VLOOKUP(E39,'Payroll Sheet'!$E$11:$U$1048576,10,0))</f>
        <v/>
      </c>
      <c r="H39" s="34" t="str">
        <f t="shared" si="0"/>
        <v/>
      </c>
      <c r="I39" t="str" cm="1">
        <f t="array" ref="I39">IF(E39="","",_xlfn.IFS(AND(H39&gt;$F$13,H39&lt;=$G$13),$E$13,AND(H39&gt;$F$14,H39&lt;=$G$14),$E$14,AND(H39&gt;$F$15,H39&lt;=$G$15),$E$15,AND(H39&gt;$F$16,H39&lt;=$G$16),$E$16,AND(H39&gt;$F$17,H39&lt;=$G$17),$E$17,AND(H39&gt;$F$18,H39&lt;=$G$18),$E$18,AND(H39&gt;$F$19,H39&lt;=$G$19),$E$19))</f>
        <v/>
      </c>
      <c r="J39" t="str">
        <f t="shared" si="4"/>
        <v/>
      </c>
      <c r="K39" s="38" t="str">
        <f t="shared" si="5"/>
        <v/>
      </c>
      <c r="L39" s="34" t="str">
        <f t="shared" si="1"/>
        <v/>
      </c>
      <c r="M39" s="39" t="str">
        <f t="shared" si="6"/>
        <v/>
      </c>
      <c r="N39" t="str">
        <f t="shared" si="7"/>
        <v/>
      </c>
      <c r="O39" t="str">
        <f t="shared" si="8"/>
        <v/>
      </c>
      <c r="P39" s="34" t="str">
        <f t="shared" si="9"/>
        <v/>
      </c>
      <c r="Q39" t="str">
        <f>IF(E39="","",VLOOKUP(E39,#REF!,4,0))</f>
        <v/>
      </c>
      <c r="R39" t="str">
        <f t="shared" si="2"/>
        <v/>
      </c>
      <c r="S39" t="str">
        <f t="shared" si="3"/>
        <v/>
      </c>
      <c r="T39" s="58" t="str">
        <f t="shared" si="10"/>
        <v/>
      </c>
      <c r="U39" t="str">
        <f>IF(E39="","",IF(DASHBOARD!$E$7&gt;Calculations!T39,"YES","NO"))</f>
        <v/>
      </c>
      <c r="V39" t="str">
        <f>IF(E39="","",VLOOKUP(E39,Employees!A:Q,17,0))</f>
        <v/>
      </c>
      <c r="X39">
        <v>1</v>
      </c>
      <c r="Y39" t="str">
        <f>IFERROR(IF(AND(Employees!A37&lt;&gt;"",Employees!D37&lt;&gt;"NULL"),Employees!A37,""),"")</f>
        <v/>
      </c>
      <c r="Z39" t="str">
        <f>IF(Y39="","",VLOOKUP(Y39,Employees!A:W,23,0))</f>
        <v/>
      </c>
      <c r="AA39" t="str">
        <f>IF(Table3[[#This Row],[Joining_Date]]="","",TEXT(Z39,"MMM-YY"))</f>
        <v/>
      </c>
      <c r="AD39" t="str">
        <f>IFERROR(IF(AC39="","",COUNTIFS(Table3[Joining Date],AC39)),"")</f>
        <v/>
      </c>
    </row>
    <row r="40" spans="2:30" x14ac:dyDescent="0.25">
      <c r="B40" s="1"/>
      <c r="F40" t="str">
        <f>IF(E40="","",VLOOKUP(E40,'Payroll Sheet'!$E$11:$U$1048576,2,0))</f>
        <v/>
      </c>
      <c r="G40" s="34" t="str">
        <f>IF(E40="","",VLOOKUP(E40,'Payroll Sheet'!$E$11:$U$1048576,10,0))</f>
        <v/>
      </c>
      <c r="H40" s="34" t="str">
        <f t="shared" si="0"/>
        <v/>
      </c>
      <c r="I40" t="str" cm="1">
        <f t="array" ref="I40">IF(E40="","",_xlfn.IFS(AND(H40&gt;$F$13,H40&lt;=$G$13),$E$13,AND(H40&gt;$F$14,H40&lt;=$G$14),$E$14,AND(H40&gt;$F$15,H40&lt;=$G$15),$E$15,AND(H40&gt;$F$16,H40&lt;=$G$16),$E$16,AND(H40&gt;$F$17,H40&lt;=$G$17),$E$17,AND(H40&gt;$F$18,H40&lt;=$G$18),$E$18,AND(H40&gt;$F$19,H40&lt;=$G$19),$E$19))</f>
        <v/>
      </c>
      <c r="J40" t="str">
        <f t="shared" si="4"/>
        <v/>
      </c>
      <c r="K40" s="38" t="str">
        <f t="shared" si="5"/>
        <v/>
      </c>
      <c r="L40" s="34" t="str">
        <f t="shared" si="1"/>
        <v/>
      </c>
      <c r="M40" s="39" t="str">
        <f t="shared" si="6"/>
        <v/>
      </c>
      <c r="N40" t="str">
        <f t="shared" si="7"/>
        <v/>
      </c>
      <c r="O40" t="str">
        <f t="shared" si="8"/>
        <v/>
      </c>
      <c r="P40" s="34" t="str">
        <f t="shared" si="9"/>
        <v/>
      </c>
      <c r="Q40" t="str">
        <f>IF(E40="","",VLOOKUP(E40,#REF!,4,0))</f>
        <v/>
      </c>
      <c r="R40" t="str">
        <f t="shared" si="2"/>
        <v/>
      </c>
      <c r="S40" t="str">
        <f t="shared" si="3"/>
        <v/>
      </c>
      <c r="T40" s="58" t="str">
        <f t="shared" si="10"/>
        <v/>
      </c>
      <c r="U40" t="str">
        <f>IF(E40="","",IF(DASHBOARD!$E$7&gt;Calculations!T40,"YES","NO"))</f>
        <v/>
      </c>
      <c r="V40" t="str">
        <f>IF(E40="","",VLOOKUP(E40,Employees!A:Q,17,0))</f>
        <v/>
      </c>
      <c r="X40">
        <v>1</v>
      </c>
      <c r="Y40" t="str">
        <f>IFERROR(IF(AND(Employees!A38&lt;&gt;"",Employees!D38&lt;&gt;"NULL"),Employees!A38,""),"")</f>
        <v/>
      </c>
      <c r="Z40" t="str">
        <f>IF(Y40="","",VLOOKUP(Y40,Employees!A:W,23,0))</f>
        <v/>
      </c>
      <c r="AA40" t="str">
        <f>IF(Table3[[#This Row],[Joining_Date]]="","",TEXT(Z40,"MMM-YY"))</f>
        <v/>
      </c>
      <c r="AD40" t="str">
        <f>IFERROR(IF(AC40="","",COUNTIFS(Table3[Joining Date],AC40)),"")</f>
        <v/>
      </c>
    </row>
    <row r="41" spans="2:30" x14ac:dyDescent="0.25">
      <c r="B41" s="1"/>
      <c r="F41" t="str">
        <f>IF(E41="","",VLOOKUP(E41,'Payroll Sheet'!$E$11:$U$1048576,2,0))</f>
        <v/>
      </c>
      <c r="G41" s="34" t="str">
        <f>IF(E41="","",VLOOKUP(E41,'Payroll Sheet'!$E$11:$U$1048576,10,0))</f>
        <v/>
      </c>
      <c r="H41" s="34" t="str">
        <f t="shared" si="0"/>
        <v/>
      </c>
      <c r="I41" t="str" cm="1">
        <f t="array" ref="I41">IF(E41="","",_xlfn.IFS(AND(H41&gt;$F$13,H41&lt;=$G$13),$E$13,AND(H41&gt;$F$14,H41&lt;=$G$14),$E$14,AND(H41&gt;$F$15,H41&lt;=$G$15),$E$15,AND(H41&gt;$F$16,H41&lt;=$G$16),$E$16,AND(H41&gt;$F$17,H41&lt;=$G$17),$E$17,AND(H41&gt;$F$18,H41&lt;=$G$18),$E$18,AND(H41&gt;$F$19,H41&lt;=$G$19),$E$19))</f>
        <v/>
      </c>
      <c r="J41" t="str">
        <f t="shared" si="4"/>
        <v/>
      </c>
      <c r="K41" s="38" t="str">
        <f t="shared" si="5"/>
        <v/>
      </c>
      <c r="L41" s="34" t="str">
        <f t="shared" si="1"/>
        <v/>
      </c>
      <c r="M41" s="39" t="str">
        <f t="shared" si="6"/>
        <v/>
      </c>
      <c r="N41" t="str">
        <f t="shared" si="7"/>
        <v/>
      </c>
      <c r="O41" t="str">
        <f t="shared" si="8"/>
        <v/>
      </c>
      <c r="P41" s="34" t="str">
        <f t="shared" si="9"/>
        <v/>
      </c>
      <c r="Q41" t="str">
        <f>IF(E41="","",VLOOKUP(E41,#REF!,4,0))</f>
        <v/>
      </c>
      <c r="R41" t="str">
        <f t="shared" si="2"/>
        <v/>
      </c>
      <c r="S41" t="str">
        <f t="shared" si="3"/>
        <v/>
      </c>
      <c r="T41" s="58" t="str">
        <f t="shared" si="10"/>
        <v/>
      </c>
      <c r="U41" t="str">
        <f>IF(E41="","",IF(DASHBOARD!$E$7&gt;Calculations!T41,"YES","NO"))</f>
        <v/>
      </c>
      <c r="V41" t="str">
        <f>IF(E41="","",VLOOKUP(E41,Employees!A:Q,17,0))</f>
        <v/>
      </c>
      <c r="X41">
        <v>1</v>
      </c>
      <c r="Y41" t="str">
        <f>IFERROR(IF(AND(Employees!A39&lt;&gt;"",Employees!D39&lt;&gt;"NULL"),Employees!A39,""),"")</f>
        <v/>
      </c>
      <c r="Z41" t="str">
        <f>IF(Y41="","",VLOOKUP(Y41,Employees!A:W,23,0))</f>
        <v/>
      </c>
      <c r="AA41" t="str">
        <f>IF(Table3[[#This Row],[Joining_Date]]="","",TEXT(Z41,"MMM-YY"))</f>
        <v/>
      </c>
      <c r="AD41" t="str">
        <f>IFERROR(IF(AC41="","",COUNTIFS(Table3[Joining Date],AC41)),"")</f>
        <v/>
      </c>
    </row>
    <row r="42" spans="2:30" x14ac:dyDescent="0.25">
      <c r="B42" s="1"/>
      <c r="F42" t="str">
        <f>IF(E42="","",VLOOKUP(E42,'Payroll Sheet'!$E$11:$U$1048576,2,0))</f>
        <v/>
      </c>
      <c r="G42" s="34" t="str">
        <f>IF(E42="","",VLOOKUP(E42,'Payroll Sheet'!$E$11:$U$1048576,10,0))</f>
        <v/>
      </c>
      <c r="H42" s="34" t="str">
        <f t="shared" si="0"/>
        <v/>
      </c>
      <c r="I42" t="str" cm="1">
        <f t="array" ref="I42">IF(E42="","",_xlfn.IFS(AND(H42&gt;$F$13,H42&lt;=$G$13),$E$13,AND(H42&gt;$F$14,H42&lt;=$G$14),$E$14,AND(H42&gt;$F$15,H42&lt;=$G$15),$E$15,AND(H42&gt;$F$16,H42&lt;=$G$16),$E$16,AND(H42&gt;$F$17,H42&lt;=$G$17),$E$17,AND(H42&gt;$F$18,H42&lt;=$G$18),$E$18,AND(H42&gt;$F$19,H42&lt;=$G$19),$E$19))</f>
        <v/>
      </c>
      <c r="J42" t="str">
        <f t="shared" si="4"/>
        <v/>
      </c>
      <c r="K42" s="38" t="str">
        <f t="shared" si="5"/>
        <v/>
      </c>
      <c r="L42" s="34" t="str">
        <f t="shared" si="1"/>
        <v/>
      </c>
      <c r="M42" s="39" t="str">
        <f t="shared" si="6"/>
        <v/>
      </c>
      <c r="N42" t="str">
        <f t="shared" si="7"/>
        <v/>
      </c>
      <c r="O42" t="str">
        <f t="shared" si="8"/>
        <v/>
      </c>
      <c r="P42" s="34" t="str">
        <f t="shared" si="9"/>
        <v/>
      </c>
      <c r="Q42" t="str">
        <f>IF(E42="","",VLOOKUP(E42,#REF!,4,0))</f>
        <v/>
      </c>
      <c r="R42" t="str">
        <f t="shared" si="2"/>
        <v/>
      </c>
      <c r="S42" t="str">
        <f t="shared" si="3"/>
        <v/>
      </c>
      <c r="T42" s="58" t="str">
        <f t="shared" si="10"/>
        <v/>
      </c>
      <c r="U42" t="str">
        <f>IF(E42="","",IF(DASHBOARD!$E$7&gt;Calculations!T42,"YES","NO"))</f>
        <v/>
      </c>
      <c r="V42" t="str">
        <f>IF(E42="","",VLOOKUP(E42,Employees!A:Q,17,0))</f>
        <v/>
      </c>
      <c r="X42">
        <v>1</v>
      </c>
      <c r="Y42" t="str">
        <f>IFERROR(IF(AND(Employees!A40&lt;&gt;"",Employees!D40&lt;&gt;"NULL"),Employees!A40,""),"")</f>
        <v/>
      </c>
      <c r="Z42" t="str">
        <f>IF(Y42="","",VLOOKUP(Y42,Employees!A:W,23,0))</f>
        <v/>
      </c>
      <c r="AA42" t="str">
        <f>IF(Table3[[#This Row],[Joining_Date]]="","",TEXT(Z42,"MMM-YY"))</f>
        <v/>
      </c>
      <c r="AD42" t="str">
        <f>IFERROR(IF(AC42="","",COUNTIFS(Table3[Joining Date],AC42)),"")</f>
        <v/>
      </c>
    </row>
    <row r="43" spans="2:30" x14ac:dyDescent="0.25">
      <c r="B43" s="1"/>
      <c r="F43" t="str">
        <f>IF(E43="","",VLOOKUP(E43,'Payroll Sheet'!$E$11:$U$1048576,2,0))</f>
        <v/>
      </c>
      <c r="G43" s="34" t="str">
        <f>IF(E43="","",VLOOKUP(E43,'Payroll Sheet'!$E$11:$U$1048576,10,0))</f>
        <v/>
      </c>
      <c r="H43" s="34" t="str">
        <f t="shared" si="0"/>
        <v/>
      </c>
      <c r="I43" t="str" cm="1">
        <f t="array" ref="I43">IF(E43="","",_xlfn.IFS(AND(H43&gt;$F$13,H43&lt;=$G$13),$E$13,AND(H43&gt;$F$14,H43&lt;=$G$14),$E$14,AND(H43&gt;$F$15,H43&lt;=$G$15),$E$15,AND(H43&gt;$F$16,H43&lt;=$G$16),$E$16,AND(H43&gt;$F$17,H43&lt;=$G$17),$E$17,AND(H43&gt;$F$18,H43&lt;=$G$18),$E$18,AND(H43&gt;$F$19,H43&lt;=$G$19),$E$19))</f>
        <v/>
      </c>
      <c r="J43" t="str">
        <f t="shared" si="4"/>
        <v/>
      </c>
      <c r="K43" s="38" t="str">
        <f t="shared" si="5"/>
        <v/>
      </c>
      <c r="L43" s="34" t="str">
        <f t="shared" si="1"/>
        <v/>
      </c>
      <c r="M43" s="39" t="str">
        <f t="shared" si="6"/>
        <v/>
      </c>
      <c r="N43" t="str">
        <f t="shared" si="7"/>
        <v/>
      </c>
      <c r="O43" t="str">
        <f t="shared" si="8"/>
        <v/>
      </c>
      <c r="P43" s="34" t="str">
        <f t="shared" si="9"/>
        <v/>
      </c>
      <c r="Q43" t="str">
        <f>IF(E43="","",VLOOKUP(E43,#REF!,4,0))</f>
        <v/>
      </c>
      <c r="R43" t="str">
        <f t="shared" si="2"/>
        <v/>
      </c>
      <c r="S43" t="str">
        <f t="shared" si="3"/>
        <v/>
      </c>
      <c r="T43" s="58" t="str">
        <f t="shared" si="10"/>
        <v/>
      </c>
      <c r="U43" t="str">
        <f>IF(E43="","",IF(DASHBOARD!$E$7&gt;Calculations!T43,"YES","NO"))</f>
        <v/>
      </c>
      <c r="V43" t="str">
        <f>IF(E43="","",VLOOKUP(E43,Employees!A:Q,17,0))</f>
        <v/>
      </c>
      <c r="Y43" t="str">
        <f>IFERROR(IF(AND(Employees!A41&lt;&gt;"",Employees!D41&lt;&gt;"NULL"),Employees!A41,""),"")</f>
        <v/>
      </c>
      <c r="Z43" t="str">
        <f>IF(Y43="","",VLOOKUP(Y43,Employees!A:W,23,0))</f>
        <v/>
      </c>
      <c r="AA43" t="str">
        <f>IF(Table3[[#This Row],[Joining_Date]]="","",TEXT(Z43,"MMM-YY"))</f>
        <v/>
      </c>
      <c r="AD43" t="str">
        <f>IFERROR(IF(AC43="","",COUNTIFS(Table3[Joining Date],AC43)),"")</f>
        <v/>
      </c>
    </row>
    <row r="44" spans="2:30" x14ac:dyDescent="0.25">
      <c r="B44" s="1"/>
      <c r="F44" t="str">
        <f>IF(E44="","",VLOOKUP(E44,'Payroll Sheet'!$E$11:$U$1048576,2,0))</f>
        <v/>
      </c>
      <c r="G44" s="34" t="str">
        <f>IF(E44="","",VLOOKUP(E44,'Payroll Sheet'!$E$11:$U$1048576,10,0))</f>
        <v/>
      </c>
      <c r="H44" s="34" t="str">
        <f t="shared" si="0"/>
        <v/>
      </c>
      <c r="I44" t="str" cm="1">
        <f t="array" ref="I44">IF(E44="","",_xlfn.IFS(AND(H44&gt;$F$13,H44&lt;=$G$13),$E$13,AND(H44&gt;$F$14,H44&lt;=$G$14),$E$14,AND(H44&gt;$F$15,H44&lt;=$G$15),$E$15,AND(H44&gt;$F$16,H44&lt;=$G$16),$E$16,AND(H44&gt;$F$17,H44&lt;=$G$17),$E$17,AND(H44&gt;$F$18,H44&lt;=$G$18),$E$18,AND(H44&gt;$F$19,H44&lt;=$G$19),$E$19))</f>
        <v/>
      </c>
      <c r="J44" t="str">
        <f t="shared" si="4"/>
        <v/>
      </c>
      <c r="K44" s="38" t="str">
        <f t="shared" si="5"/>
        <v/>
      </c>
      <c r="L44" s="34" t="str">
        <f t="shared" si="1"/>
        <v/>
      </c>
      <c r="M44" s="39" t="str">
        <f t="shared" si="6"/>
        <v/>
      </c>
      <c r="N44" t="str">
        <f t="shared" si="7"/>
        <v/>
      </c>
      <c r="O44" t="str">
        <f t="shared" si="8"/>
        <v/>
      </c>
      <c r="P44" s="34" t="str">
        <f t="shared" si="9"/>
        <v/>
      </c>
      <c r="Q44" t="str">
        <f>IF(E44="","",VLOOKUP(E44,#REF!,4,0))</f>
        <v/>
      </c>
      <c r="R44" t="str">
        <f t="shared" si="2"/>
        <v/>
      </c>
      <c r="S44" t="str">
        <f t="shared" si="3"/>
        <v/>
      </c>
      <c r="T44" s="58" t="str">
        <f t="shared" si="10"/>
        <v/>
      </c>
      <c r="U44" t="str">
        <f>IF(E44="","",IF(DASHBOARD!$E$7&gt;Calculations!T44,"YES","NO"))</f>
        <v/>
      </c>
      <c r="V44" t="str">
        <f>IF(E44="","",VLOOKUP(E44,Employees!A:Q,17,0))</f>
        <v/>
      </c>
      <c r="Y44" t="str">
        <f>IFERROR(IF(AND(Employees!A42&lt;&gt;"",Employees!D42&lt;&gt;"NULL"),Employees!A42,""),"")</f>
        <v/>
      </c>
      <c r="Z44" t="str">
        <f>IF(Y44="","",VLOOKUP(Y44,Employees!A:W,23,0))</f>
        <v/>
      </c>
      <c r="AA44" t="str">
        <f>IF(Table3[[#This Row],[Joining_Date]]="","",TEXT(Z44,"MMM-YY"))</f>
        <v/>
      </c>
      <c r="AD44" t="str">
        <f>IFERROR(IF(AC44="","",COUNTIFS(Table3[Joining Date],AC44)),"")</f>
        <v/>
      </c>
    </row>
    <row r="45" spans="2:30" x14ac:dyDescent="0.25">
      <c r="B45" s="1"/>
      <c r="F45" t="str">
        <f>IF(E45="","",VLOOKUP(E45,'Payroll Sheet'!$E$11:$U$1048576,2,0))</f>
        <v/>
      </c>
      <c r="G45" s="34" t="str">
        <f>IF(E45="","",VLOOKUP(E45,'Payroll Sheet'!$E$11:$U$1048576,10,0))</f>
        <v/>
      </c>
      <c r="H45" s="34" t="str">
        <f t="shared" si="0"/>
        <v/>
      </c>
      <c r="I45" t="str" cm="1">
        <f t="array" ref="I45">IF(E45="","",_xlfn.IFS(AND(H45&gt;$F$13,H45&lt;=$G$13),$E$13,AND(H45&gt;$F$14,H45&lt;=$G$14),$E$14,AND(H45&gt;$F$15,H45&lt;=$G$15),$E$15,AND(H45&gt;$F$16,H45&lt;=$G$16),$E$16,AND(H45&gt;$F$17,H45&lt;=$G$17),$E$17,AND(H45&gt;$F$18,H45&lt;=$G$18),$E$18,AND(H45&gt;$F$19,H45&lt;=$G$19),$E$19))</f>
        <v/>
      </c>
      <c r="J45" t="str">
        <f t="shared" si="4"/>
        <v/>
      </c>
      <c r="K45" s="38" t="str">
        <f t="shared" si="5"/>
        <v/>
      </c>
      <c r="L45" s="34" t="str">
        <f t="shared" si="1"/>
        <v/>
      </c>
      <c r="M45" s="39" t="str">
        <f t="shared" si="6"/>
        <v/>
      </c>
      <c r="N45" t="str">
        <f t="shared" si="7"/>
        <v/>
      </c>
      <c r="O45" t="str">
        <f t="shared" si="8"/>
        <v/>
      </c>
      <c r="P45" s="34" t="str">
        <f t="shared" si="9"/>
        <v/>
      </c>
      <c r="Q45" t="str">
        <f>IF(E45="","",VLOOKUP(E45,#REF!,4,0))</f>
        <v/>
      </c>
      <c r="R45" t="str">
        <f t="shared" si="2"/>
        <v/>
      </c>
      <c r="S45" t="str">
        <f t="shared" si="3"/>
        <v/>
      </c>
      <c r="T45" s="58" t="str">
        <f t="shared" si="10"/>
        <v/>
      </c>
      <c r="U45" t="str">
        <f>IF(E45="","",IF(DASHBOARD!$E$7&gt;Calculations!T45,"YES","NO"))</f>
        <v/>
      </c>
      <c r="V45" t="str">
        <f>IF(E45="","",VLOOKUP(E45,Employees!A:Q,17,0))</f>
        <v/>
      </c>
      <c r="Y45" t="str">
        <f>IFERROR(IF(AND(Employees!A43&lt;&gt;"",Employees!D43&lt;&gt;"NULL"),Employees!A43,""),"")</f>
        <v/>
      </c>
      <c r="Z45" t="str">
        <f>IF(Y45="","",VLOOKUP(Y45,Employees!A:W,23,0))</f>
        <v/>
      </c>
      <c r="AA45" t="str">
        <f>IF(Table3[[#This Row],[Joining_Date]]="","",TEXT(Z45,"MMM-YY"))</f>
        <v/>
      </c>
      <c r="AD45" t="str">
        <f>IFERROR(IF(AC45="","",COUNTIFS(Table3[Joining Date],AC45)),"")</f>
        <v/>
      </c>
    </row>
    <row r="46" spans="2:30" x14ac:dyDescent="0.25">
      <c r="B46" s="1"/>
      <c r="F46" t="str">
        <f>IF(E46="","",VLOOKUP(E46,'Payroll Sheet'!$E$11:$U$1048576,2,0))</f>
        <v/>
      </c>
      <c r="G46" s="34" t="str">
        <f>IF(E46="","",VLOOKUP(E46,'Payroll Sheet'!$E$11:$U$1048576,10,0))</f>
        <v/>
      </c>
      <c r="H46" s="34" t="str">
        <f t="shared" si="0"/>
        <v/>
      </c>
      <c r="I46" t="str" cm="1">
        <f t="array" ref="I46">IF(E46="","",_xlfn.IFS(AND(H46&gt;$F$13,H46&lt;=$G$13),$E$13,AND(H46&gt;$F$14,H46&lt;=$G$14),$E$14,AND(H46&gt;$F$15,H46&lt;=$G$15),$E$15,AND(H46&gt;$F$16,H46&lt;=$G$16),$E$16,AND(H46&gt;$F$17,H46&lt;=$G$17),$E$17,AND(H46&gt;$F$18,H46&lt;=$G$18),$E$18,AND(H46&gt;$F$19,H46&lt;=$G$19),$E$19))</f>
        <v/>
      </c>
      <c r="J46" t="str">
        <f t="shared" si="4"/>
        <v/>
      </c>
      <c r="K46" s="38" t="str">
        <f t="shared" si="5"/>
        <v/>
      </c>
      <c r="L46" s="34" t="str">
        <f t="shared" si="1"/>
        <v/>
      </c>
      <c r="M46" s="39" t="str">
        <f t="shared" si="6"/>
        <v/>
      </c>
      <c r="N46" t="str">
        <f t="shared" si="7"/>
        <v/>
      </c>
      <c r="O46" t="str">
        <f t="shared" si="8"/>
        <v/>
      </c>
      <c r="P46" s="34" t="str">
        <f t="shared" si="9"/>
        <v/>
      </c>
      <c r="Q46" t="str">
        <f>IF(E46="","",VLOOKUP(E46,#REF!,4,0))</f>
        <v/>
      </c>
      <c r="R46" t="str">
        <f t="shared" si="2"/>
        <v/>
      </c>
      <c r="S46" t="str">
        <f t="shared" si="3"/>
        <v/>
      </c>
      <c r="T46" s="58" t="str">
        <f t="shared" si="10"/>
        <v/>
      </c>
      <c r="U46" t="str">
        <f>IF(E46="","",IF(DASHBOARD!$E$7&gt;Calculations!T46,"YES","NO"))</f>
        <v/>
      </c>
      <c r="V46" t="str">
        <f>IF(E46="","",VLOOKUP(E46,Employees!A:Q,17,0))</f>
        <v/>
      </c>
      <c r="Y46" t="str">
        <f>IFERROR(IF(AND(Employees!A44&lt;&gt;"",Employees!D44&lt;&gt;"NULL"),Employees!A44,""),"")</f>
        <v/>
      </c>
      <c r="Z46" t="str">
        <f>IF(Y46="","",VLOOKUP(Y46,Employees!A:W,23,0))</f>
        <v/>
      </c>
      <c r="AA46" t="str">
        <f>IF(Table3[[#This Row],[Joining_Date]]="","",TEXT(Z46,"MMM-YY"))</f>
        <v/>
      </c>
      <c r="AD46" t="str">
        <f>IFERROR(IF(AC46="","",COUNTIFS(Table3[Joining Date],AC46)),"")</f>
        <v/>
      </c>
    </row>
    <row r="47" spans="2:30" x14ac:dyDescent="0.25">
      <c r="B47" s="1"/>
      <c r="F47" t="str">
        <f>IF(E47="","",VLOOKUP(E47,'Payroll Sheet'!$E$11:$U$1048576,2,0))</f>
        <v/>
      </c>
      <c r="G47" s="34" t="str">
        <f>IF(E47="","",VLOOKUP(E47,'Payroll Sheet'!$E$11:$U$1048576,10,0))</f>
        <v/>
      </c>
      <c r="H47" s="34" t="str">
        <f t="shared" si="0"/>
        <v/>
      </c>
      <c r="I47" t="str" cm="1">
        <f t="array" ref="I47">IF(E47="","",_xlfn.IFS(AND(H47&gt;$F$13,H47&lt;=$G$13),$E$13,AND(H47&gt;$F$14,H47&lt;=$G$14),$E$14,AND(H47&gt;$F$15,H47&lt;=$G$15),$E$15,AND(H47&gt;$F$16,H47&lt;=$G$16),$E$16,AND(H47&gt;$F$17,H47&lt;=$G$17),$E$17,AND(H47&gt;$F$18,H47&lt;=$G$18),$E$18,AND(H47&gt;$F$19,H47&lt;=$G$19),$E$19))</f>
        <v/>
      </c>
      <c r="J47" t="str">
        <f t="shared" si="4"/>
        <v/>
      </c>
      <c r="K47" s="38" t="str">
        <f t="shared" si="5"/>
        <v/>
      </c>
      <c r="L47" s="34" t="str">
        <f t="shared" si="1"/>
        <v/>
      </c>
      <c r="M47" s="39" t="str">
        <f t="shared" si="6"/>
        <v/>
      </c>
      <c r="N47" t="str">
        <f t="shared" si="7"/>
        <v/>
      </c>
      <c r="O47" t="str">
        <f t="shared" si="8"/>
        <v/>
      </c>
      <c r="P47" s="34" t="str">
        <f t="shared" si="9"/>
        <v/>
      </c>
      <c r="Q47" t="str">
        <f>IF(E47="","",VLOOKUP(E47,#REF!,4,0))</f>
        <v/>
      </c>
      <c r="R47" t="str">
        <f t="shared" si="2"/>
        <v/>
      </c>
      <c r="S47" t="str">
        <f t="shared" si="3"/>
        <v/>
      </c>
      <c r="T47" s="58" t="str">
        <f t="shared" si="10"/>
        <v/>
      </c>
      <c r="U47" t="str">
        <f>IF(E47="","",IF(DASHBOARD!$E$7&gt;Calculations!T47,"YES","NO"))</f>
        <v/>
      </c>
      <c r="V47" t="str">
        <f>IF(E47="","",VLOOKUP(E47,Employees!A:Q,17,0))</f>
        <v/>
      </c>
      <c r="Y47" t="str">
        <f>IFERROR(IF(AND(Employees!A45&lt;&gt;"",Employees!D45&lt;&gt;"NULL"),Employees!A45,""),"")</f>
        <v/>
      </c>
      <c r="Z47" t="str">
        <f>IF(Y47="","",VLOOKUP(Y47,Employees!A:W,23,0))</f>
        <v/>
      </c>
      <c r="AA47" t="str">
        <f>IF(Table3[[#This Row],[Joining_Date]]="","",TEXT(Z47,"MMM-YY"))</f>
        <v/>
      </c>
      <c r="AD47" t="str">
        <f>IFERROR(IF(AC47="","",COUNTIFS(Table3[Joining Date],AC47)),"")</f>
        <v/>
      </c>
    </row>
    <row r="48" spans="2:30" x14ac:dyDescent="0.25">
      <c r="F48" t="str">
        <f>IF(E48="","",VLOOKUP(E48,'Payroll Sheet'!$E$11:$U$1048576,2,0))</f>
        <v/>
      </c>
      <c r="G48" s="34" t="str">
        <f>IF(E48="","",VLOOKUP(E48,'Payroll Sheet'!$E$11:$U$1048576,10,0))</f>
        <v/>
      </c>
      <c r="H48" s="34" t="str">
        <f t="shared" si="0"/>
        <v/>
      </c>
      <c r="I48" t="str" cm="1">
        <f t="array" ref="I48">IF(E48="","",_xlfn.IFS(AND(H48&gt;$F$13,H48&lt;=$G$13),$E$13,AND(H48&gt;$F$14,H48&lt;=$G$14),$E$14,AND(H48&gt;$F$15,H48&lt;=$G$15),$E$15,AND(H48&gt;$F$16,H48&lt;=$G$16),$E$16,AND(H48&gt;$F$17,H48&lt;=$G$17),$E$17,AND(H48&gt;$F$18,H48&lt;=$G$18),$E$18,AND(H48&gt;$F$19,H48&lt;=$G$19),$E$19))</f>
        <v/>
      </c>
      <c r="J48" t="str">
        <f t="shared" si="4"/>
        <v/>
      </c>
      <c r="K48" s="38" t="str">
        <f t="shared" si="5"/>
        <v/>
      </c>
      <c r="L48" s="34" t="str">
        <f t="shared" si="1"/>
        <v/>
      </c>
      <c r="M48" s="39" t="str">
        <f t="shared" si="6"/>
        <v/>
      </c>
      <c r="N48" t="str">
        <f t="shared" si="7"/>
        <v/>
      </c>
      <c r="O48" t="str">
        <f t="shared" si="8"/>
        <v/>
      </c>
      <c r="P48" s="34" t="str">
        <f t="shared" si="9"/>
        <v/>
      </c>
      <c r="Q48" t="str">
        <f>IF(E48="","",VLOOKUP(E48,#REF!,4,0))</f>
        <v/>
      </c>
      <c r="R48" t="str">
        <f t="shared" si="2"/>
        <v/>
      </c>
      <c r="S48" t="str">
        <f t="shared" si="3"/>
        <v/>
      </c>
      <c r="T48" s="58" t="str">
        <f t="shared" si="10"/>
        <v/>
      </c>
      <c r="U48" t="str">
        <f>IF(E48="","",IF(DASHBOARD!$E$7&gt;Calculations!T48,"YES","NO"))</f>
        <v/>
      </c>
      <c r="V48" t="str">
        <f>IF(E48="","",VLOOKUP(E48,Employees!A:Q,17,0))</f>
        <v/>
      </c>
      <c r="Y48" t="str">
        <f>IFERROR(IF(AND(Employees!A46&lt;&gt;"",Employees!D46&lt;&gt;"NULL"),Employees!A46,""),"")</f>
        <v/>
      </c>
      <c r="Z48" t="str">
        <f>IF(Y48="","",VLOOKUP(Y48,Employees!A:W,23,0))</f>
        <v/>
      </c>
      <c r="AA48" t="str">
        <f>IF(Table3[[#This Row],[Joining_Date]]="","",TEXT(Z48,"MMM-YY"))</f>
        <v/>
      </c>
      <c r="AD48" t="str">
        <f>IFERROR(IF(AC48="","",COUNTIFS(Table3[Joining Date],AC48)),"")</f>
        <v/>
      </c>
    </row>
    <row r="49" spans="6:30" x14ac:dyDescent="0.25">
      <c r="F49" t="str">
        <f>IF(E49="","",VLOOKUP(E49,'Payroll Sheet'!$E$11:$U$1048576,2,0))</f>
        <v/>
      </c>
      <c r="G49" s="34" t="str">
        <f>IF(E49="","",VLOOKUP(E49,'Payroll Sheet'!$E$11:$U$1048576,10,0))</f>
        <v/>
      </c>
      <c r="H49" s="34" t="str">
        <f t="shared" si="0"/>
        <v/>
      </c>
      <c r="I49" t="str" cm="1">
        <f t="array" ref="I49">IF(E49="","",_xlfn.IFS(AND(H49&gt;$F$13,H49&lt;=$G$13),$E$13,AND(H49&gt;$F$14,H49&lt;=$G$14),$E$14,AND(H49&gt;$F$15,H49&lt;=$G$15),$E$15,AND(H49&gt;$F$16,H49&lt;=$G$16),$E$16,AND(H49&gt;$F$17,H49&lt;=$G$17),$E$17,AND(H49&gt;$F$18,H49&lt;=$G$18),$E$18,AND(H49&gt;$F$19,H49&lt;=$G$19),$E$19))</f>
        <v/>
      </c>
      <c r="J49" t="str">
        <f t="shared" si="4"/>
        <v/>
      </c>
      <c r="K49" s="38" t="str">
        <f t="shared" si="5"/>
        <v/>
      </c>
      <c r="L49" s="34" t="str">
        <f t="shared" si="1"/>
        <v/>
      </c>
      <c r="M49" s="39" t="str">
        <f t="shared" si="6"/>
        <v/>
      </c>
      <c r="N49" t="str">
        <f t="shared" si="7"/>
        <v/>
      </c>
      <c r="O49" t="str">
        <f t="shared" si="8"/>
        <v/>
      </c>
      <c r="P49" s="34" t="str">
        <f t="shared" si="9"/>
        <v/>
      </c>
      <c r="Q49" t="str">
        <f>IF(E49="","",VLOOKUP(E49,#REF!,4,0))</f>
        <v/>
      </c>
      <c r="R49" t="str">
        <f t="shared" si="2"/>
        <v/>
      </c>
      <c r="S49" t="str">
        <f t="shared" si="3"/>
        <v/>
      </c>
      <c r="T49" s="58" t="str">
        <f t="shared" si="10"/>
        <v/>
      </c>
      <c r="U49" t="str">
        <f>IF(E49="","",IF(DASHBOARD!$E$7&gt;Calculations!T49,"YES","NO"))</f>
        <v/>
      </c>
      <c r="V49" t="str">
        <f>IF(E49="","",VLOOKUP(E49,Employees!A:Q,17,0))</f>
        <v/>
      </c>
      <c r="Y49" t="str">
        <f>IFERROR(IF(AND(Employees!A47&lt;&gt;"",Employees!D47&lt;&gt;"NULL"),Employees!A47,""),"")</f>
        <v/>
      </c>
      <c r="Z49" t="str">
        <f>IF(Y49="","",VLOOKUP(Y49,Employees!A:W,23,0))</f>
        <v/>
      </c>
      <c r="AA49" t="str">
        <f>IF(Table3[[#This Row],[Joining_Date]]="","",TEXT(Z49,"MMM-YY"))</f>
        <v/>
      </c>
      <c r="AD49" t="str">
        <f>IFERROR(IF(AC49="","",COUNTIFS(Table3[Joining Date],AC49)),"")</f>
        <v/>
      </c>
    </row>
    <row r="50" spans="6:30" x14ac:dyDescent="0.25">
      <c r="F50" t="str">
        <f>IF(E50="","",VLOOKUP(E50,'Payroll Sheet'!$E$11:$U$1048576,2,0))</f>
        <v/>
      </c>
      <c r="G50" s="34" t="str">
        <f>IF(E50="","",VLOOKUP(E50,'Payroll Sheet'!$E$11:$U$1048576,10,0))</f>
        <v/>
      </c>
      <c r="H50" s="34" t="str">
        <f t="shared" si="0"/>
        <v/>
      </c>
      <c r="I50" t="str" cm="1">
        <f t="array" ref="I50">IF(E50="","",_xlfn.IFS(AND(H50&gt;$F$13,H50&lt;=$G$13),$E$13,AND(H50&gt;$F$14,H50&lt;=$G$14),$E$14,AND(H50&gt;$F$15,H50&lt;=$G$15),$E$15,AND(H50&gt;$F$16,H50&lt;=$G$16),$E$16,AND(H50&gt;$F$17,H50&lt;=$G$17),$E$17,AND(H50&gt;$F$18,H50&lt;=$G$18),$E$18,AND(H50&gt;$F$19,H50&lt;=$G$19),$E$19))</f>
        <v/>
      </c>
      <c r="J50" t="str">
        <f t="shared" si="4"/>
        <v/>
      </c>
      <c r="K50" s="38" t="str">
        <f t="shared" si="5"/>
        <v/>
      </c>
      <c r="L50" s="34" t="str">
        <f t="shared" si="1"/>
        <v/>
      </c>
      <c r="M50" s="39" t="str">
        <f t="shared" si="6"/>
        <v/>
      </c>
      <c r="N50" t="str">
        <f t="shared" si="7"/>
        <v/>
      </c>
      <c r="O50" t="str">
        <f t="shared" si="8"/>
        <v/>
      </c>
      <c r="P50" s="34" t="str">
        <f t="shared" si="9"/>
        <v/>
      </c>
      <c r="Q50" t="str">
        <f>IF(E50="","",VLOOKUP(E50,#REF!,4,0))</f>
        <v/>
      </c>
      <c r="R50" t="str">
        <f t="shared" si="2"/>
        <v/>
      </c>
      <c r="S50" t="str">
        <f t="shared" si="3"/>
        <v/>
      </c>
      <c r="T50" s="58" t="str">
        <f t="shared" si="10"/>
        <v/>
      </c>
      <c r="U50" t="str">
        <f>IF(E50="","",IF(DASHBOARD!$E$7&gt;Calculations!T50,"YES","NO"))</f>
        <v/>
      </c>
      <c r="V50" t="str">
        <f>IF(E50="","",VLOOKUP(E50,Employees!A:Q,17,0))</f>
        <v/>
      </c>
      <c r="Y50" t="str">
        <f>IFERROR(IF(AND(Employees!A48&lt;&gt;"",Employees!D48&lt;&gt;"NULL"),Employees!A48,""),"")</f>
        <v/>
      </c>
      <c r="Z50" t="str">
        <f>IF(Y50="","",VLOOKUP(Y50,Employees!A:W,23,0))</f>
        <v/>
      </c>
      <c r="AA50" t="str">
        <f>IF(Table3[[#This Row],[Joining_Date]]="","",TEXT(Z50,"MMM-YY"))</f>
        <v/>
      </c>
      <c r="AD50" t="str">
        <f>IFERROR(IF(AC50="","",COUNTIFS(Table3[Joining Date],AC50)),"")</f>
        <v/>
      </c>
    </row>
    <row r="51" spans="6:30" x14ac:dyDescent="0.25">
      <c r="G51" s="34" t="str">
        <f>IF(E51="","",VLOOKUP(E51,'Payroll Sheet'!$E$11:$U$1048576,10,0))</f>
        <v/>
      </c>
      <c r="H51" s="34" t="str">
        <f t="shared" si="0"/>
        <v/>
      </c>
      <c r="I51" t="str" cm="1">
        <f t="array" ref="I51">IF(E51="","",_xlfn.IFS(AND(H51&gt;$F$13,H51&lt;=$G$13),$E$13,AND(H51&gt;$F$14,H51&lt;=$G$14),$E$14,AND(H51&gt;$F$15,H51&lt;=$G$15),$E$15,AND(H51&gt;$F$16,H51&lt;=$G$16),$E$16,AND(H51&gt;$F$17,H51&lt;=$G$17),$E$17,AND(H51&gt;$F$18,H51&lt;=$G$18),$E$18,AND(H51&gt;$F$19,H51&lt;=$G$19),$E$19))</f>
        <v/>
      </c>
      <c r="J51" t="str">
        <f t="shared" si="4"/>
        <v/>
      </c>
      <c r="K51" s="38" t="str">
        <f t="shared" si="5"/>
        <v/>
      </c>
      <c r="L51" s="34" t="str">
        <f t="shared" si="1"/>
        <v/>
      </c>
      <c r="M51" s="39" t="str">
        <f t="shared" si="6"/>
        <v/>
      </c>
      <c r="N51" t="str">
        <f t="shared" si="7"/>
        <v/>
      </c>
      <c r="O51" t="str">
        <f t="shared" si="8"/>
        <v/>
      </c>
      <c r="P51" s="34" t="str">
        <f t="shared" si="9"/>
        <v/>
      </c>
      <c r="Q51" t="str">
        <f>IF(E51="","",VLOOKUP(E51,#REF!,4,0))</f>
        <v/>
      </c>
      <c r="R51" t="str">
        <f t="shared" si="2"/>
        <v/>
      </c>
      <c r="S51" t="str">
        <f t="shared" si="3"/>
        <v/>
      </c>
      <c r="T51" s="58" t="str">
        <f t="shared" si="10"/>
        <v/>
      </c>
      <c r="U51" t="str">
        <f>IF(E51="","",IF(DASHBOARD!$E$7&gt;Calculations!T51,"YES","NO"))</f>
        <v/>
      </c>
      <c r="V51" t="str">
        <f>IF(E51="","",VLOOKUP(E51,Employees!A:Q,17,0))</f>
        <v/>
      </c>
      <c r="Y51" t="str">
        <f>IFERROR(IF(AND(Employees!A49&lt;&gt;"",Employees!D49&lt;&gt;"NULL"),Employees!A49,""),"")</f>
        <v/>
      </c>
      <c r="Z51" t="str">
        <f>IF(Y51="","",VLOOKUP(Y51,Employees!A:W,23,0))</f>
        <v/>
      </c>
      <c r="AA51" t="str">
        <f>IF(Table3[[#This Row],[Joining_Date]]="","",TEXT(Z51,"MMM-YY"))</f>
        <v/>
      </c>
      <c r="AD51" t="str">
        <f>IFERROR(IF(AC51="","",COUNTIFS(Table3[Joining Date],AC51)),"")</f>
        <v/>
      </c>
    </row>
    <row r="52" spans="6:30" x14ac:dyDescent="0.25">
      <c r="F52" t="str">
        <f>IF(E52="","",VLOOKUP(E52,'Payroll Sheet'!$E$11:$U$1048576,2,0))</f>
        <v/>
      </c>
      <c r="G52" s="34" t="str">
        <f>IF(E52="","",VLOOKUP(E52,'Payroll Sheet'!$E$11:$U$1048576,10,0))</f>
        <v/>
      </c>
      <c r="H52" s="34" t="str">
        <f t="shared" si="0"/>
        <v/>
      </c>
      <c r="I52" t="str" cm="1">
        <f t="array" ref="I52">IF(E52="","",_xlfn.IFS(AND(H52&gt;$F$13,H52&lt;=$G$13),$E$13,AND(H52&gt;$F$14,H52&lt;=$G$14),$E$14,AND(H52&gt;$F$15,H52&lt;=$G$15),$E$15,AND(H52&gt;$F$16,H52&lt;=$G$16),$E$16,AND(H52&gt;$F$17,H52&lt;=$G$17),$E$17,AND(H52&gt;$F$18,H52&lt;=$G$18),$E$18,AND(H52&gt;$F$19,H52&lt;=$G$19),$E$19))</f>
        <v/>
      </c>
      <c r="J52" t="str">
        <f t="shared" si="4"/>
        <v/>
      </c>
      <c r="K52" s="38" t="str">
        <f t="shared" si="5"/>
        <v/>
      </c>
      <c r="L52" s="34" t="str">
        <f t="shared" si="1"/>
        <v/>
      </c>
      <c r="M52" s="39" t="str">
        <f t="shared" si="6"/>
        <v/>
      </c>
      <c r="N52" t="str">
        <f t="shared" si="7"/>
        <v/>
      </c>
      <c r="O52" t="str">
        <f t="shared" si="8"/>
        <v/>
      </c>
      <c r="P52" s="34" t="str">
        <f t="shared" si="9"/>
        <v/>
      </c>
      <c r="Q52" t="str">
        <f>IF(E52="","",VLOOKUP(E52,#REF!,4,0))</f>
        <v/>
      </c>
      <c r="R52" t="str">
        <f t="shared" si="2"/>
        <v/>
      </c>
      <c r="S52" t="str">
        <f t="shared" si="3"/>
        <v/>
      </c>
      <c r="T52" s="58" t="str">
        <f t="shared" si="10"/>
        <v/>
      </c>
      <c r="U52" t="str">
        <f>IF(E52="","",IF(DASHBOARD!$E$7&gt;Calculations!T52,"YES","NO"))</f>
        <v/>
      </c>
      <c r="V52" t="str">
        <f>IF(E52="","",VLOOKUP(E52,Employees!A:Q,17,0))</f>
        <v/>
      </c>
      <c r="Y52" t="str">
        <f>IFERROR(IF(AND(Employees!A50&lt;&gt;"",Employees!D50&lt;&gt;"NULL"),Employees!A50,""),"")</f>
        <v/>
      </c>
      <c r="Z52" t="str">
        <f>IF(Y52="","",VLOOKUP(Y52,Employees!A:W,23,0))</f>
        <v/>
      </c>
      <c r="AA52" t="str">
        <f>IF(Table3[[#This Row],[Joining_Date]]="","",TEXT(Z52,"MMM-YY"))</f>
        <v/>
      </c>
      <c r="AD52" t="str">
        <f>IFERROR(IF(AC52="","",COUNTIFS(Table3[Joining Date],AC52)),"")</f>
        <v/>
      </c>
    </row>
    <row r="53" spans="6:30" x14ac:dyDescent="0.25">
      <c r="F53" t="str">
        <f>IF(E53="","",VLOOKUP(E53,'Payroll Sheet'!$E$11:$U$1048576,2,0))</f>
        <v/>
      </c>
      <c r="G53" s="34" t="str">
        <f>IF(E53="","",VLOOKUP(E53,'Payroll Sheet'!$E$11:$U$1048576,10,0))</f>
        <v/>
      </c>
      <c r="H53" s="34" t="str">
        <f t="shared" si="0"/>
        <v/>
      </c>
      <c r="I53" t="str" cm="1">
        <f t="array" ref="I53">IF(E53="","",_xlfn.IFS(AND(H53&gt;$F$13,H53&lt;=$G$13),$E$13,AND(H53&gt;$F$14,H53&lt;=$G$14),$E$14,AND(H53&gt;$F$15,H53&lt;=$G$15),$E$15,AND(H53&gt;$F$16,H53&lt;=$G$16),$E$16,AND(H53&gt;$F$17,H53&lt;=$G$17),$E$17,AND(H53&gt;$F$18,H53&lt;=$G$18),$E$18,AND(H53&gt;$F$19,H53&lt;=$G$19),$E$19))</f>
        <v/>
      </c>
      <c r="J53" t="str">
        <f t="shared" si="4"/>
        <v/>
      </c>
      <c r="K53" s="38" t="str">
        <f t="shared" si="5"/>
        <v/>
      </c>
      <c r="L53" s="34" t="str">
        <f t="shared" si="1"/>
        <v/>
      </c>
      <c r="M53" s="39" t="str">
        <f t="shared" si="6"/>
        <v/>
      </c>
      <c r="N53" t="str">
        <f t="shared" si="7"/>
        <v/>
      </c>
      <c r="O53" t="str">
        <f t="shared" si="8"/>
        <v/>
      </c>
      <c r="P53" s="34" t="str">
        <f t="shared" si="9"/>
        <v/>
      </c>
      <c r="Q53" t="str">
        <f>IF(E53="","",VLOOKUP(E53,#REF!,4,0))</f>
        <v/>
      </c>
      <c r="R53" t="str">
        <f t="shared" si="2"/>
        <v/>
      </c>
      <c r="S53" t="str">
        <f t="shared" si="3"/>
        <v/>
      </c>
      <c r="T53" s="58" t="str">
        <f t="shared" si="10"/>
        <v/>
      </c>
      <c r="U53" t="str">
        <f>IF(E53="","",IF(DASHBOARD!$E$7&gt;Calculations!T53,"YES","NO"))</f>
        <v/>
      </c>
      <c r="V53" t="str">
        <f>IF(E53="","",VLOOKUP(E53,Employees!A:Q,17,0))</f>
        <v/>
      </c>
      <c r="Y53" t="str">
        <f>IFERROR(IF(AND(Employees!A51&lt;&gt;"",Employees!D51&lt;&gt;"NULL"),Employees!A51,""),"")</f>
        <v/>
      </c>
      <c r="Z53" t="str">
        <f>IF(Y53="","",VLOOKUP(Y53,Employees!A:W,23,0))</f>
        <v/>
      </c>
      <c r="AA53" t="str">
        <f>IF(Table3[[#This Row],[Joining_Date]]="","",TEXT(Z53,"MMM-YY"))</f>
        <v/>
      </c>
      <c r="AD53" t="str">
        <f>IFERROR(IF(AC53="","",COUNTIFS(Table3[Joining Date],AC53)),"")</f>
        <v/>
      </c>
    </row>
    <row r="54" spans="6:30" x14ac:dyDescent="0.25">
      <c r="F54" t="str">
        <f>IF(E54="","",VLOOKUP(E54,'Payroll Sheet'!$E$11:$U$1048576,2,0))</f>
        <v/>
      </c>
      <c r="G54" s="34" t="str">
        <f>IF(E54="","",VLOOKUP(E54,'Payroll Sheet'!$E$11:$U$1048576,10,0))</f>
        <v/>
      </c>
      <c r="H54" s="34" t="str">
        <f t="shared" si="0"/>
        <v/>
      </c>
      <c r="I54" t="str" cm="1">
        <f t="array" ref="I54">IF(E54="","",_xlfn.IFS(AND(H54&gt;$F$13,H54&lt;=$G$13),$E$13,AND(H54&gt;$F$14,H54&lt;=$G$14),$E$14,AND(H54&gt;$F$15,H54&lt;=$G$15),$E$15,AND(H54&gt;$F$16,H54&lt;=$G$16),$E$16,AND(H54&gt;$F$17,H54&lt;=$G$17),$E$17,AND(H54&gt;$F$18,H54&lt;=$G$18),$E$18,AND(H54&gt;$F$19,H54&lt;=$G$19),$E$19))</f>
        <v/>
      </c>
      <c r="J54" t="str">
        <f t="shared" si="4"/>
        <v/>
      </c>
      <c r="K54" s="38" t="str">
        <f t="shared" si="5"/>
        <v/>
      </c>
      <c r="L54" s="34" t="str">
        <f t="shared" si="1"/>
        <v/>
      </c>
      <c r="M54" s="39" t="str">
        <f t="shared" si="6"/>
        <v/>
      </c>
      <c r="N54" t="str">
        <f t="shared" si="7"/>
        <v/>
      </c>
      <c r="O54" t="str">
        <f t="shared" si="8"/>
        <v/>
      </c>
      <c r="P54" s="34" t="str">
        <f t="shared" si="9"/>
        <v/>
      </c>
      <c r="Q54" t="str">
        <f>IF(E54="","",VLOOKUP(E54,#REF!,4,0))</f>
        <v/>
      </c>
      <c r="R54" t="str">
        <f t="shared" si="2"/>
        <v/>
      </c>
      <c r="S54" t="str">
        <f t="shared" si="3"/>
        <v/>
      </c>
      <c r="T54" s="58" t="str">
        <f t="shared" si="10"/>
        <v/>
      </c>
      <c r="U54" t="str">
        <f>IF(E54="","",IF(DASHBOARD!$E$7&gt;Calculations!T54,"YES","NO"))</f>
        <v/>
      </c>
      <c r="V54" t="str">
        <f>IF(E54="","",VLOOKUP(E54,Employees!A:Q,17,0))</f>
        <v/>
      </c>
      <c r="Y54" t="str">
        <f>IFERROR(IF(AND(Employees!A52&lt;&gt;"",Employees!D52&lt;&gt;"NULL"),Employees!A52,""),"")</f>
        <v/>
      </c>
      <c r="Z54" t="str">
        <f>IF(Y54="","",VLOOKUP(Y54,Employees!A:W,23,0))</f>
        <v/>
      </c>
      <c r="AA54" t="str">
        <f>IF(Table3[[#This Row],[Joining_Date]]="","",TEXT(Z54,"MMM-YY"))</f>
        <v/>
      </c>
      <c r="AD54" t="str">
        <f>IFERROR(IF(AC54="","",COUNTIFS(Table3[Joining Date],AC54)),"")</f>
        <v/>
      </c>
    </row>
    <row r="55" spans="6:30" x14ac:dyDescent="0.25">
      <c r="F55" t="str">
        <f>IF(E55="","",VLOOKUP(E55,'Payroll Sheet'!$E$11:$U$1048576,2,0))</f>
        <v/>
      </c>
      <c r="G55" s="34" t="str">
        <f>IF(E55="","",VLOOKUP(E55,'Payroll Sheet'!$E$11:$U$1048576,10,0))</f>
        <v/>
      </c>
      <c r="H55" s="34" t="str">
        <f t="shared" si="0"/>
        <v/>
      </c>
      <c r="I55" t="str" cm="1">
        <f t="array" ref="I55">IF(E55="","",_xlfn.IFS(AND(H55&gt;$F$13,H55&lt;=$G$13),$E$13,AND(H55&gt;$F$14,H55&lt;=$G$14),$E$14,AND(H55&gt;$F$15,H55&lt;=$G$15),$E$15,AND(H55&gt;$F$16,H55&lt;=$G$16),$E$16,AND(H55&gt;$F$17,H55&lt;=$G$17),$E$17,AND(H55&gt;$F$18,H55&lt;=$G$18),$E$18,AND(H55&gt;$F$19,H55&lt;=$G$19),$E$19))</f>
        <v/>
      </c>
      <c r="J55" t="str">
        <f t="shared" si="4"/>
        <v/>
      </c>
      <c r="K55" s="38" t="str">
        <f t="shared" si="5"/>
        <v/>
      </c>
      <c r="L55" s="34" t="str">
        <f t="shared" ref="L55:L86" si="11">IF(E55="","",VLOOKUP(I55,$E$13:$H$19,4,0))</f>
        <v/>
      </c>
      <c r="M55" s="39" t="str">
        <f t="shared" si="6"/>
        <v/>
      </c>
      <c r="N55" t="str">
        <f t="shared" si="7"/>
        <v/>
      </c>
      <c r="O55" t="str">
        <f t="shared" si="8"/>
        <v/>
      </c>
      <c r="P55" s="34" t="str">
        <f t="shared" si="9"/>
        <v/>
      </c>
      <c r="Q55" t="str">
        <f>IF(E55="","",VLOOKUP(E55,#REF!,4,0))</f>
        <v/>
      </c>
      <c r="R55" t="str">
        <f t="shared" si="2"/>
        <v/>
      </c>
      <c r="S55" t="str">
        <f t="shared" si="3"/>
        <v/>
      </c>
      <c r="T55" s="58" t="str">
        <f t="shared" si="10"/>
        <v/>
      </c>
      <c r="U55" t="str">
        <f>IF(E55="","",IF(DASHBOARD!$E$7&gt;Calculations!T55,"YES","NO"))</f>
        <v/>
      </c>
      <c r="V55" t="str">
        <f>IF(E55="","",VLOOKUP(E55,Employees!A:Q,17,0))</f>
        <v/>
      </c>
      <c r="Y55" t="str">
        <f>IFERROR(IF(AND(Employees!A53&lt;&gt;"",Employees!D53&lt;&gt;"NULL"),Employees!A53,""),"")</f>
        <v/>
      </c>
      <c r="Z55" t="str">
        <f>IF(Y55="","",VLOOKUP(Y55,Employees!A:W,23,0))</f>
        <v/>
      </c>
      <c r="AA55" t="str">
        <f>IF(Table3[[#This Row],[Joining_Date]]="","",TEXT(Z55,"MMM-YY"))</f>
        <v/>
      </c>
      <c r="AD55" t="str">
        <f>IFERROR(IF(AC55="","",COUNTIFS(Table3[Joining Date],AC55)),"")</f>
        <v/>
      </c>
    </row>
    <row r="56" spans="6:30" x14ac:dyDescent="0.25">
      <c r="F56" t="str">
        <f>IF(E56="","",VLOOKUP(E56,'Payroll Sheet'!$E$11:$U$1048576,2,0))</f>
        <v/>
      </c>
      <c r="G56" s="34" t="str">
        <f>IF(E56="","",VLOOKUP(E56,'Payroll Sheet'!$E$11:$U$1048576,10,0))</f>
        <v/>
      </c>
      <c r="H56" s="34" t="str">
        <f t="shared" si="0"/>
        <v/>
      </c>
      <c r="I56" t="str" cm="1">
        <f t="array" ref="I56">IF(E56="","",_xlfn.IFS(AND(H56&gt;$F$13,H56&lt;=$G$13),$E$13,AND(H56&gt;$F$14,H56&lt;=$G$14),$E$14,AND(H56&gt;$F$15,H56&lt;=$G$15),$E$15,AND(H56&gt;$F$16,H56&lt;=$G$16),$E$16,AND(H56&gt;$F$17,H56&lt;=$G$17),$E$17,AND(H56&gt;$F$18,H56&lt;=$G$18),$E$18,AND(H56&gt;$F$19,H56&lt;=$G$19),$E$19))</f>
        <v/>
      </c>
      <c r="J56" t="str">
        <f t="shared" si="4"/>
        <v/>
      </c>
      <c r="K56" s="38" t="str">
        <f t="shared" si="5"/>
        <v/>
      </c>
      <c r="L56" s="34" t="str">
        <f t="shared" si="11"/>
        <v/>
      </c>
      <c r="M56" s="39" t="str">
        <f t="shared" si="6"/>
        <v/>
      </c>
      <c r="N56" t="str">
        <f t="shared" si="7"/>
        <v/>
      </c>
      <c r="O56" t="str">
        <f t="shared" si="8"/>
        <v/>
      </c>
      <c r="P56" s="34" t="str">
        <f t="shared" si="9"/>
        <v/>
      </c>
      <c r="Q56" t="str">
        <f>IF(E56="","",VLOOKUP(E56,#REF!,4,0))</f>
        <v/>
      </c>
      <c r="R56" t="str">
        <f t="shared" si="2"/>
        <v/>
      </c>
      <c r="S56" t="str">
        <f t="shared" si="3"/>
        <v/>
      </c>
      <c r="T56" s="58" t="str">
        <f t="shared" si="10"/>
        <v/>
      </c>
      <c r="U56" t="str">
        <f>IF(E56="","",IF(DASHBOARD!$E$7&gt;Calculations!T56,"YES","NO"))</f>
        <v/>
      </c>
      <c r="V56" t="str">
        <f>IF(E56="","",VLOOKUP(E56,Employees!A:Q,17,0))</f>
        <v/>
      </c>
      <c r="Y56" t="str">
        <f>IFERROR(IF(AND(Employees!A54&lt;&gt;"",Employees!D54&lt;&gt;"NULL"),Employees!A54,""),"")</f>
        <v/>
      </c>
      <c r="Z56" t="str">
        <f>IF(Y56="","",VLOOKUP(Y56,Employees!A:W,23,0))</f>
        <v/>
      </c>
      <c r="AA56" t="str">
        <f>IF(Table3[[#This Row],[Joining_Date]]="","",TEXT(Z56,"MMM-YY"))</f>
        <v/>
      </c>
      <c r="AD56" t="str">
        <f>IFERROR(IF(AC56="","",COUNTIFS(Table3[Joining Date],AC56)),"")</f>
        <v/>
      </c>
    </row>
    <row r="57" spans="6:30" x14ac:dyDescent="0.25">
      <c r="F57" t="str">
        <f>IF(E57="","",VLOOKUP(E57,'Payroll Sheet'!$E$11:$U$1048576,2,0))</f>
        <v/>
      </c>
      <c r="G57" s="34" t="str">
        <f>IF(E57="","",VLOOKUP(E57,'Payroll Sheet'!$E$11:$U$1048576,10,0))</f>
        <v/>
      </c>
      <c r="H57" s="34" t="str">
        <f t="shared" si="0"/>
        <v/>
      </c>
      <c r="I57" t="str" cm="1">
        <f t="array" ref="I57">IF(E57="","",_xlfn.IFS(AND(H57&gt;$F$13,H57&lt;=$G$13),$E$13,AND(H57&gt;$F$14,H57&lt;=$G$14),$E$14,AND(H57&gt;$F$15,H57&lt;=$G$15),$E$15,AND(H57&gt;$F$16,H57&lt;=$G$16),$E$16,AND(H57&gt;$F$17,H57&lt;=$G$17),$E$17,AND(H57&gt;$F$18,H57&lt;=$G$18),$E$18,AND(H57&gt;$F$19,H57&lt;=$G$19),$E$19))</f>
        <v/>
      </c>
      <c r="J57" t="str">
        <f t="shared" si="4"/>
        <v/>
      </c>
      <c r="K57" s="38" t="str">
        <f t="shared" si="5"/>
        <v/>
      </c>
      <c r="L57" s="34" t="str">
        <f t="shared" si="11"/>
        <v/>
      </c>
      <c r="M57" s="39" t="str">
        <f t="shared" si="6"/>
        <v/>
      </c>
      <c r="N57" t="str">
        <f t="shared" si="7"/>
        <v/>
      </c>
      <c r="O57" t="str">
        <f t="shared" si="8"/>
        <v/>
      </c>
      <c r="P57" s="34" t="str">
        <f t="shared" si="9"/>
        <v/>
      </c>
      <c r="Q57" t="str">
        <f>IF(E57="","",VLOOKUP(E57,#REF!,4,0))</f>
        <v/>
      </c>
      <c r="R57" t="str">
        <f t="shared" si="2"/>
        <v/>
      </c>
      <c r="S57" t="str">
        <f t="shared" si="3"/>
        <v/>
      </c>
      <c r="T57" s="58" t="str">
        <f t="shared" si="10"/>
        <v/>
      </c>
      <c r="U57" t="str">
        <f>IF(E57="","",IF(DASHBOARD!$E$7&gt;Calculations!T57,"YES","NO"))</f>
        <v/>
      </c>
      <c r="V57" t="str">
        <f>IF(E57="","",VLOOKUP(E57,Employees!A:Q,17,0))</f>
        <v/>
      </c>
      <c r="Y57" t="str">
        <f>IFERROR(IF(AND(Employees!A55&lt;&gt;"",Employees!D55&lt;&gt;"NULL"),Employees!A55,""),"")</f>
        <v/>
      </c>
      <c r="Z57" t="str">
        <f>IF(Y57="","",VLOOKUP(Y57,Employees!A:W,23,0))</f>
        <v/>
      </c>
      <c r="AA57" t="str">
        <f>IF(Table3[[#This Row],[Joining_Date]]="","",TEXT(Z57,"MMM-YY"))</f>
        <v/>
      </c>
      <c r="AD57" t="str">
        <f>IFERROR(IF(AC57="","",COUNTIFS(Table3[Joining Date],AC57)),"")</f>
        <v/>
      </c>
    </row>
    <row r="58" spans="6:30" x14ac:dyDescent="0.25">
      <c r="F58" t="str">
        <f>IF(E58="","",VLOOKUP(E58,'Payroll Sheet'!$E$11:$U$1048576,2,0))</f>
        <v/>
      </c>
      <c r="G58" s="34" t="str">
        <f>IF(E58="","",VLOOKUP(E58,'Payroll Sheet'!$E$11:$U$1048576,10,0))</f>
        <v/>
      </c>
      <c r="H58" s="34" t="str">
        <f t="shared" si="0"/>
        <v/>
      </c>
      <c r="I58" t="str" cm="1">
        <f t="array" ref="I58">IF(E58="","",_xlfn.IFS(AND(H58&gt;$F$13,H58&lt;=$G$13),$E$13,AND(H58&gt;$F$14,H58&lt;=$G$14),$E$14,AND(H58&gt;$F$15,H58&lt;=$G$15),$E$15,AND(H58&gt;$F$16,H58&lt;=$G$16),$E$16,AND(H58&gt;$F$17,H58&lt;=$G$17),$E$17,AND(H58&gt;$F$18,H58&lt;=$G$18),$E$18,AND(H58&gt;$F$19,H58&lt;=$G$19),$E$19))</f>
        <v/>
      </c>
      <c r="J58" t="str">
        <f t="shared" si="4"/>
        <v/>
      </c>
      <c r="K58" s="38" t="str">
        <f t="shared" si="5"/>
        <v/>
      </c>
      <c r="L58" s="34" t="str">
        <f t="shared" si="11"/>
        <v/>
      </c>
      <c r="M58" s="39" t="str">
        <f t="shared" si="6"/>
        <v/>
      </c>
      <c r="N58" t="str">
        <f t="shared" si="7"/>
        <v/>
      </c>
      <c r="O58" t="str">
        <f t="shared" si="8"/>
        <v/>
      </c>
      <c r="P58" s="34" t="str">
        <f t="shared" si="9"/>
        <v/>
      </c>
      <c r="Q58" t="str">
        <f>IF(E58="","",VLOOKUP(E58,#REF!,4,0))</f>
        <v/>
      </c>
      <c r="R58" t="str">
        <f t="shared" si="2"/>
        <v/>
      </c>
      <c r="S58" t="str">
        <f t="shared" si="3"/>
        <v/>
      </c>
      <c r="T58" s="58" t="str">
        <f t="shared" si="10"/>
        <v/>
      </c>
      <c r="U58" t="str">
        <f>IF(E58="","",IF(DASHBOARD!$E$7&gt;Calculations!T58,"YES","NO"))</f>
        <v/>
      </c>
      <c r="V58" t="str">
        <f>IF(E58="","",VLOOKUP(E58,Employees!A:Q,17,0))</f>
        <v/>
      </c>
      <c r="Y58" t="str">
        <f>IFERROR(IF(AND(Employees!A56&lt;&gt;"",Employees!D56&lt;&gt;"NULL"),Employees!A56,""),"")</f>
        <v/>
      </c>
      <c r="Z58" t="str">
        <f>IF(Y58="","",VLOOKUP(Y58,Employees!A:W,23,0))</f>
        <v/>
      </c>
      <c r="AA58" t="str">
        <f>IF(Table3[[#This Row],[Joining_Date]]="","",TEXT(Z58,"MMM-YY"))</f>
        <v/>
      </c>
      <c r="AD58" t="str">
        <f>IFERROR(IF(AC58="","",COUNTIFS(Table3[Joining Date],AC58)),"")</f>
        <v/>
      </c>
    </row>
    <row r="59" spans="6:30" x14ac:dyDescent="0.25">
      <c r="F59" t="str">
        <f>IF(E59="","",VLOOKUP(E59,'Payroll Sheet'!$E$11:$U$1048576,2,0))</f>
        <v/>
      </c>
      <c r="G59" s="34" t="str">
        <f>IF(E59="","",VLOOKUP(E59,'Payroll Sheet'!$E$11:$U$1048576,10,0))</f>
        <v/>
      </c>
      <c r="H59" s="34" t="str">
        <f t="shared" si="0"/>
        <v/>
      </c>
      <c r="I59" t="str" cm="1">
        <f t="array" ref="I59">IF(E59="","",_xlfn.IFS(AND(H59&gt;$F$13,H59&lt;=$G$13),$E$13,AND(H59&gt;$F$14,H59&lt;=$G$14),$E$14,AND(H59&gt;$F$15,H59&lt;=$G$15),$E$15,AND(H59&gt;$F$16,H59&lt;=$G$16),$E$16,AND(H59&gt;$F$17,H59&lt;=$G$17),$E$17,AND(H59&gt;$F$18,H59&lt;=$G$18),$E$18,AND(H59&gt;$F$19,H59&lt;=$G$19),$E$19))</f>
        <v/>
      </c>
      <c r="J59" t="str">
        <f t="shared" si="4"/>
        <v/>
      </c>
      <c r="K59" s="38" t="str">
        <f t="shared" si="5"/>
        <v/>
      </c>
      <c r="L59" s="34" t="str">
        <f t="shared" si="11"/>
        <v/>
      </c>
      <c r="M59" s="39" t="str">
        <f t="shared" si="6"/>
        <v/>
      </c>
      <c r="N59" t="str">
        <f t="shared" si="7"/>
        <v/>
      </c>
      <c r="O59" t="str">
        <f t="shared" si="8"/>
        <v/>
      </c>
      <c r="P59" s="34" t="str">
        <f t="shared" si="9"/>
        <v/>
      </c>
      <c r="Q59" t="str">
        <f>IF(E59="","",VLOOKUP(E59,#REF!,4,0))</f>
        <v/>
      </c>
      <c r="R59" t="str">
        <f t="shared" si="2"/>
        <v/>
      </c>
      <c r="S59" t="str">
        <f t="shared" si="3"/>
        <v/>
      </c>
      <c r="T59" s="58" t="str">
        <f t="shared" si="10"/>
        <v/>
      </c>
      <c r="U59" t="str">
        <f>IF(E59="","",IF(DASHBOARD!$E$7&gt;Calculations!T59,"YES","NO"))</f>
        <v/>
      </c>
      <c r="V59" t="str">
        <f>IF(E59="","",VLOOKUP(E59,Employees!A:Q,17,0))</f>
        <v/>
      </c>
      <c r="Y59" t="str">
        <f>IFERROR(IF(AND(Employees!A57&lt;&gt;"",Employees!D57&lt;&gt;"NULL"),Employees!A57,""),"")</f>
        <v/>
      </c>
      <c r="Z59" t="str">
        <f>IF(Y59="","",VLOOKUP(Y59,Employees!A:W,23,0))</f>
        <v/>
      </c>
      <c r="AA59" t="str">
        <f>IF(Table3[[#This Row],[Joining_Date]]="","",TEXT(Z59,"MMM-YY"))</f>
        <v/>
      </c>
      <c r="AD59" t="str">
        <f>IFERROR(IF(AC59="","",COUNTIFS(Table3[Joining Date],AC59)),"")</f>
        <v/>
      </c>
    </row>
    <row r="60" spans="6:30" x14ac:dyDescent="0.25">
      <c r="F60" t="str">
        <f>IF(E60="","",VLOOKUP(E60,'Payroll Sheet'!$E$11:$U$1048576,2,0))</f>
        <v/>
      </c>
      <c r="G60" s="34" t="str">
        <f>IF(E60="","",VLOOKUP(E60,'Payroll Sheet'!$E$11:$U$1048576,10,0))</f>
        <v/>
      </c>
      <c r="H60" s="34" t="str">
        <f t="shared" si="0"/>
        <v/>
      </c>
      <c r="I60" t="str" cm="1">
        <f t="array" ref="I60">IF(E60="","",_xlfn.IFS(AND(H60&gt;$F$13,H60&lt;=$G$13),$E$13,AND(H60&gt;$F$14,H60&lt;=$G$14),$E$14,AND(H60&gt;$F$15,H60&lt;=$G$15),$E$15,AND(H60&gt;$F$16,H60&lt;=$G$16),$E$16,AND(H60&gt;$F$17,H60&lt;=$G$17),$E$17,AND(H60&gt;$F$18,H60&lt;=$G$18),$E$18,AND(H60&gt;$F$19,H60&lt;=$G$19),$E$19))</f>
        <v/>
      </c>
      <c r="J60" t="str">
        <f t="shared" si="4"/>
        <v/>
      </c>
      <c r="K60" s="38" t="str">
        <f t="shared" si="5"/>
        <v/>
      </c>
      <c r="L60" s="34" t="str">
        <f t="shared" si="11"/>
        <v/>
      </c>
      <c r="M60" s="39" t="str">
        <f t="shared" si="6"/>
        <v/>
      </c>
      <c r="N60" t="str">
        <f t="shared" si="7"/>
        <v/>
      </c>
      <c r="O60" t="str">
        <f t="shared" si="8"/>
        <v/>
      </c>
      <c r="P60" s="34" t="str">
        <f t="shared" si="9"/>
        <v/>
      </c>
      <c r="Q60" t="str">
        <f>IF(E60="","",VLOOKUP(E60,#REF!,4,0))</f>
        <v/>
      </c>
      <c r="R60" t="str">
        <f t="shared" si="2"/>
        <v/>
      </c>
      <c r="S60" t="str">
        <f t="shared" si="3"/>
        <v/>
      </c>
      <c r="T60" s="58" t="str">
        <f t="shared" si="10"/>
        <v/>
      </c>
      <c r="U60" t="str">
        <f>IF(E60="","",IF(DASHBOARD!$E$7&gt;Calculations!T60,"YES","NO"))</f>
        <v/>
      </c>
      <c r="V60" t="str">
        <f>IF(E60="","",VLOOKUP(E60,Employees!A:Q,17,0))</f>
        <v/>
      </c>
      <c r="Y60" t="str">
        <f>IFERROR(IF(AND(Employees!A58&lt;&gt;"",Employees!D58&lt;&gt;"NULL"),Employees!A58,""),"")</f>
        <v/>
      </c>
      <c r="Z60" t="str">
        <f>IF(Y60="","",VLOOKUP(Y60,Employees!A:W,23,0))</f>
        <v/>
      </c>
      <c r="AA60" t="str">
        <f>IF(Table3[[#This Row],[Joining_Date]]="","",TEXT(Z60,"MMM-YY"))</f>
        <v/>
      </c>
      <c r="AD60" t="str">
        <f>IFERROR(IF(AC60="","",COUNTIFS(Table3[Joining Date],AC60)),"")</f>
        <v/>
      </c>
    </row>
    <row r="61" spans="6:30" x14ac:dyDescent="0.25">
      <c r="F61" t="str">
        <f>IF(E61="","",VLOOKUP(E61,'Payroll Sheet'!$E$11:$U$1048576,2,0))</f>
        <v/>
      </c>
      <c r="G61" s="34" t="str">
        <f>IF(E61="","",VLOOKUP(E61,'Payroll Sheet'!$E$11:$U$1048576,10,0))</f>
        <v/>
      </c>
      <c r="H61" s="34" t="str">
        <f t="shared" si="0"/>
        <v/>
      </c>
      <c r="I61" t="str" cm="1">
        <f t="array" ref="I61">IF(E61="","",_xlfn.IFS(AND(H61&gt;$F$13,H61&lt;=$G$13),$E$13,AND(H61&gt;$F$14,H61&lt;=$G$14),$E$14,AND(H61&gt;$F$15,H61&lt;=$G$15),$E$15,AND(H61&gt;$F$16,H61&lt;=$G$16),$E$16,AND(H61&gt;$F$17,H61&lt;=$G$17),$E$17,AND(H61&gt;$F$18,H61&lt;=$G$18),$E$18,AND(H61&gt;$F$19,H61&lt;=$G$19),$E$19))</f>
        <v/>
      </c>
      <c r="J61" t="str">
        <f t="shared" si="4"/>
        <v/>
      </c>
      <c r="K61" s="38" t="str">
        <f t="shared" si="5"/>
        <v/>
      </c>
      <c r="L61" s="34" t="str">
        <f t="shared" si="11"/>
        <v/>
      </c>
      <c r="M61" s="39" t="str">
        <f t="shared" si="6"/>
        <v/>
      </c>
      <c r="N61" t="str">
        <f t="shared" si="7"/>
        <v/>
      </c>
      <c r="O61" t="str">
        <f t="shared" si="8"/>
        <v/>
      </c>
      <c r="P61" s="34" t="str">
        <f t="shared" si="9"/>
        <v/>
      </c>
      <c r="Q61" t="str">
        <f>IF(E61="","",VLOOKUP(E61,#REF!,4,0))</f>
        <v/>
      </c>
      <c r="R61" t="str">
        <f t="shared" si="2"/>
        <v/>
      </c>
      <c r="S61" t="str">
        <f t="shared" si="3"/>
        <v/>
      </c>
      <c r="T61" s="58" t="str">
        <f t="shared" si="10"/>
        <v/>
      </c>
      <c r="U61" t="str">
        <f>IF(E61="","",IF(DASHBOARD!$E$7&gt;Calculations!T61,"YES","NO"))</f>
        <v/>
      </c>
      <c r="V61" t="str">
        <f>IF(E61="","",VLOOKUP(E61,Employees!A:Q,17,0))</f>
        <v/>
      </c>
      <c r="Y61" t="str">
        <f>IFERROR(IF(AND(Employees!A59&lt;&gt;"",Employees!D59&lt;&gt;"NULL"),Employees!A59,""),"")</f>
        <v/>
      </c>
      <c r="Z61" t="str">
        <f>IF(Y61="","",VLOOKUP(Y61,Employees!A:W,23,0))</f>
        <v/>
      </c>
      <c r="AA61" t="str">
        <f>IF(Table3[[#This Row],[Joining_Date]]="","",TEXT(Z61,"MMM-YY"))</f>
        <v/>
      </c>
      <c r="AD61" t="str">
        <f>IFERROR(IF(AC61="","",COUNTIFS(Table3[Joining Date],AC61)),"")</f>
        <v/>
      </c>
    </row>
    <row r="62" spans="6:30" x14ac:dyDescent="0.25">
      <c r="F62" t="str">
        <f>IF(E62="","",VLOOKUP(E62,'Payroll Sheet'!$E$11:$U$1048576,2,0))</f>
        <v/>
      </c>
      <c r="G62" s="34" t="str">
        <f>IF(E62="","",VLOOKUP(E62,'Payroll Sheet'!$E$11:$U$1048576,10,0))</f>
        <v/>
      </c>
      <c r="H62" s="34" t="str">
        <f t="shared" si="0"/>
        <v/>
      </c>
      <c r="I62" t="str" cm="1">
        <f t="array" ref="I62">IF(E62="","",_xlfn.IFS(AND(H62&gt;$F$13,H62&lt;=$G$13),$E$13,AND(H62&gt;$F$14,H62&lt;=$G$14),$E$14,AND(H62&gt;$F$15,H62&lt;=$G$15),$E$15,AND(H62&gt;$F$16,H62&lt;=$G$16),$E$16,AND(H62&gt;$F$17,H62&lt;=$G$17),$E$17,AND(H62&gt;$F$18,H62&lt;=$G$18),$E$18,AND(H62&gt;$F$19,H62&lt;=$G$19),$E$19))</f>
        <v/>
      </c>
      <c r="J62" t="str">
        <f t="shared" si="4"/>
        <v/>
      </c>
      <c r="K62" s="38" t="str">
        <f t="shared" si="5"/>
        <v/>
      </c>
      <c r="L62" s="34" t="str">
        <f t="shared" si="11"/>
        <v/>
      </c>
      <c r="M62" s="39" t="str">
        <f t="shared" si="6"/>
        <v/>
      </c>
      <c r="N62" t="str">
        <f t="shared" si="7"/>
        <v/>
      </c>
      <c r="O62" t="str">
        <f t="shared" si="8"/>
        <v/>
      </c>
      <c r="P62" s="34" t="str">
        <f t="shared" si="9"/>
        <v/>
      </c>
      <c r="Q62" t="str">
        <f>IF(E62="","",VLOOKUP(E62,#REF!,4,0))</f>
        <v/>
      </c>
      <c r="R62" t="str">
        <f t="shared" si="2"/>
        <v/>
      </c>
      <c r="S62" t="str">
        <f t="shared" si="3"/>
        <v/>
      </c>
      <c r="T62" s="58" t="str">
        <f t="shared" si="10"/>
        <v/>
      </c>
      <c r="U62" t="str">
        <f>IF(E62="","",IF(DASHBOARD!$E$7&gt;Calculations!T62,"YES","NO"))</f>
        <v/>
      </c>
      <c r="V62" t="str">
        <f>IF(E62="","",VLOOKUP(E62,Employees!A:Q,17,0))</f>
        <v/>
      </c>
      <c r="Y62" t="str">
        <f>IFERROR(IF(AND(Employees!A60&lt;&gt;"",Employees!D60&lt;&gt;"NULL"),Employees!A60,""),"")</f>
        <v/>
      </c>
      <c r="Z62" t="str">
        <f>IF(Y62="","",VLOOKUP(Y62,Employees!A:W,23,0))</f>
        <v/>
      </c>
      <c r="AA62" t="str">
        <f>IF(Table3[[#This Row],[Joining_Date]]="","",TEXT(Z62,"MMM-YY"))</f>
        <v/>
      </c>
      <c r="AD62" t="str">
        <f>IFERROR(IF(AC62="","",COUNTIFS(Table3[Joining Date],AC62)),"")</f>
        <v/>
      </c>
    </row>
    <row r="63" spans="6:30" x14ac:dyDescent="0.25">
      <c r="F63" t="str">
        <f>IF(E63="","",VLOOKUP(E63,'Payroll Sheet'!$E$11:$U$1048576,2,0))</f>
        <v/>
      </c>
      <c r="G63" s="34" t="str">
        <f>IF(E63="","",VLOOKUP(E63,'Payroll Sheet'!$E$11:$U$1048576,10,0))</f>
        <v/>
      </c>
      <c r="H63" s="34" t="str">
        <f t="shared" si="0"/>
        <v/>
      </c>
      <c r="I63" t="str" cm="1">
        <f t="array" ref="I63">IF(E63="","",_xlfn.IFS(AND(H63&gt;$F$13,H63&lt;=$G$13),$E$13,AND(H63&gt;$F$14,H63&lt;=$G$14),$E$14,AND(H63&gt;$F$15,H63&lt;=$G$15),$E$15,AND(H63&gt;$F$16,H63&lt;=$G$16),$E$16,AND(H63&gt;$F$17,H63&lt;=$G$17),$E$17,AND(H63&gt;$F$18,H63&lt;=$G$18),$E$18,AND(H63&gt;$F$19,H63&lt;=$G$19),$E$19))</f>
        <v/>
      </c>
      <c r="J63" t="str">
        <f t="shared" si="4"/>
        <v/>
      </c>
      <c r="K63" s="38" t="str">
        <f t="shared" si="5"/>
        <v/>
      </c>
      <c r="L63" s="34" t="str">
        <f t="shared" si="11"/>
        <v/>
      </c>
      <c r="M63" s="39" t="str">
        <f t="shared" si="6"/>
        <v/>
      </c>
      <c r="N63" t="str">
        <f t="shared" si="7"/>
        <v/>
      </c>
      <c r="O63" t="str">
        <f t="shared" si="8"/>
        <v/>
      </c>
      <c r="P63" s="34" t="str">
        <f t="shared" si="9"/>
        <v/>
      </c>
      <c r="Q63" t="str">
        <f>IF(E63="","",VLOOKUP(E63,#REF!,4,0))</f>
        <v/>
      </c>
      <c r="R63" t="str">
        <f t="shared" si="2"/>
        <v/>
      </c>
      <c r="S63" t="str">
        <f t="shared" si="3"/>
        <v/>
      </c>
      <c r="T63" s="58" t="str">
        <f t="shared" si="10"/>
        <v/>
      </c>
      <c r="U63" t="str">
        <f>IF(E63="","",IF(DASHBOARD!$E$7&gt;Calculations!T63,"YES","NO"))</f>
        <v/>
      </c>
      <c r="V63" t="str">
        <f>IF(E63="","",VLOOKUP(E63,Employees!A:Q,17,0))</f>
        <v/>
      </c>
      <c r="Y63" t="str">
        <f>IFERROR(IF(AND(Employees!A61&lt;&gt;"",Employees!D61&lt;&gt;"NULL"),Employees!A61,""),"")</f>
        <v/>
      </c>
      <c r="Z63" t="str">
        <f>IF(Y63="","",VLOOKUP(Y63,Employees!A:W,23,0))</f>
        <v/>
      </c>
      <c r="AA63" t="str">
        <f>IF(Table3[[#This Row],[Joining_Date]]="","",TEXT(Z63,"MMM-YY"))</f>
        <v/>
      </c>
      <c r="AD63" t="str">
        <f>IFERROR(IF(AC63="","",COUNTIFS(Table3[Joining Date],AC63)),"")</f>
        <v/>
      </c>
    </row>
    <row r="64" spans="6:30" x14ac:dyDescent="0.25">
      <c r="F64" t="str">
        <f>IF(E64="","",VLOOKUP(E64,'Payroll Sheet'!$E$11:$U$1048576,2,0))</f>
        <v/>
      </c>
      <c r="G64" s="34" t="str">
        <f>IF(E64="","",VLOOKUP(E64,'Payroll Sheet'!$E$11:$U$1048576,10,0))</f>
        <v/>
      </c>
      <c r="H64" s="34" t="str">
        <f t="shared" si="0"/>
        <v/>
      </c>
      <c r="I64" t="str" cm="1">
        <f t="array" ref="I64">IF(E64="","",_xlfn.IFS(AND(H64&gt;$F$13,H64&lt;=$G$13),$E$13,AND(H64&gt;$F$14,H64&lt;=$G$14),$E$14,AND(H64&gt;$F$15,H64&lt;=$G$15),$E$15,AND(H64&gt;$F$16,H64&lt;=$G$16),$E$16,AND(H64&gt;$F$17,H64&lt;=$G$17),$E$17,AND(H64&gt;$F$18,H64&lt;=$G$18),$E$18,AND(H64&gt;$F$19,H64&lt;=$G$19),$E$19))</f>
        <v/>
      </c>
      <c r="J64" t="str">
        <f t="shared" si="4"/>
        <v/>
      </c>
      <c r="K64" s="38" t="str">
        <f t="shared" si="5"/>
        <v/>
      </c>
      <c r="L64" s="34" t="str">
        <f t="shared" si="11"/>
        <v/>
      </c>
      <c r="M64" s="39" t="str">
        <f t="shared" si="6"/>
        <v/>
      </c>
      <c r="N64" t="str">
        <f t="shared" si="7"/>
        <v/>
      </c>
      <c r="O64" t="str">
        <f t="shared" si="8"/>
        <v/>
      </c>
      <c r="P64" s="34" t="str">
        <f t="shared" si="9"/>
        <v/>
      </c>
      <c r="Q64" t="str">
        <f>IF(E64="","",VLOOKUP(E64,#REF!,4,0))</f>
        <v/>
      </c>
      <c r="R64" t="str">
        <f t="shared" si="2"/>
        <v/>
      </c>
      <c r="S64" t="str">
        <f t="shared" si="3"/>
        <v/>
      </c>
      <c r="T64" s="58" t="str">
        <f t="shared" si="10"/>
        <v/>
      </c>
      <c r="U64" t="str">
        <f>IF(E64="","",IF(DASHBOARD!$E$7&gt;Calculations!T64,"YES","NO"))</f>
        <v/>
      </c>
      <c r="V64" t="str">
        <f>IF(E64="","",VLOOKUP(E64,Employees!A:Q,17,0))</f>
        <v/>
      </c>
      <c r="Y64" t="str">
        <f>IFERROR(IF(AND(Employees!A62&lt;&gt;"",Employees!D62&lt;&gt;"NULL"),Employees!A62,""),"")</f>
        <v/>
      </c>
      <c r="Z64" t="str">
        <f>IF(Y64="","",VLOOKUP(Y64,Employees!A:W,23,0))</f>
        <v/>
      </c>
      <c r="AA64" t="str">
        <f>IF(Table3[[#This Row],[Joining_Date]]="","",TEXT(Z64,"MMM-YY"))</f>
        <v/>
      </c>
      <c r="AD64" t="str">
        <f>IFERROR(IF(AC64="","",COUNTIFS(Table3[Joining Date],AC64)),"")</f>
        <v/>
      </c>
    </row>
    <row r="65" spans="6:30" x14ac:dyDescent="0.25">
      <c r="F65" t="str">
        <f>IF(E65="","",VLOOKUP(E65,'Payroll Sheet'!$E$11:$U$1048576,2,0))</f>
        <v/>
      </c>
      <c r="G65" s="34" t="str">
        <f>IF(E65="","",VLOOKUP(E65,'Payroll Sheet'!$E$11:$U$1048576,10,0))</f>
        <v/>
      </c>
      <c r="H65" s="34" t="str">
        <f t="shared" si="0"/>
        <v/>
      </c>
      <c r="I65" t="str" cm="1">
        <f t="array" ref="I65">IF(E65="","",_xlfn.IFS(AND(H65&gt;$F$13,H65&lt;=$G$13),$E$13,AND(H65&gt;$F$14,H65&lt;=$G$14),$E$14,AND(H65&gt;$F$15,H65&lt;=$G$15),$E$15,AND(H65&gt;$F$16,H65&lt;=$G$16),$E$16,AND(H65&gt;$F$17,H65&lt;=$G$17),$E$17,AND(H65&gt;$F$18,H65&lt;=$G$18),$E$18,AND(H65&gt;$F$19,H65&lt;=$G$19),$E$19))</f>
        <v/>
      </c>
      <c r="J65" t="str">
        <f t="shared" si="4"/>
        <v/>
      </c>
      <c r="K65" s="38" t="str">
        <f t="shared" si="5"/>
        <v/>
      </c>
      <c r="L65" s="34" t="str">
        <f t="shared" si="11"/>
        <v/>
      </c>
      <c r="M65" s="39" t="str">
        <f t="shared" si="6"/>
        <v/>
      </c>
      <c r="N65" t="str">
        <f t="shared" si="7"/>
        <v/>
      </c>
      <c r="O65" t="str">
        <f t="shared" si="8"/>
        <v/>
      </c>
      <c r="P65" s="34" t="str">
        <f t="shared" si="9"/>
        <v/>
      </c>
      <c r="Q65" t="str">
        <f>IF(E65="","",VLOOKUP(E65,#REF!,4,0))</f>
        <v/>
      </c>
      <c r="R65" t="str">
        <f t="shared" si="2"/>
        <v/>
      </c>
      <c r="S65" t="str">
        <f t="shared" si="3"/>
        <v/>
      </c>
      <c r="T65" s="58" t="str">
        <f t="shared" si="10"/>
        <v/>
      </c>
      <c r="U65" t="str">
        <f>IF(E65="","",IF(DASHBOARD!$E$7&gt;Calculations!T65,"YES","NO"))</f>
        <v/>
      </c>
      <c r="V65" t="str">
        <f>IF(E65="","",VLOOKUP(E65,Employees!A:Q,17,0))</f>
        <v/>
      </c>
      <c r="Y65" t="str">
        <f>IFERROR(IF(AND(Employees!A63&lt;&gt;"",Employees!D63&lt;&gt;"NULL"),Employees!A63,""),"")</f>
        <v/>
      </c>
      <c r="Z65" t="str">
        <f>IF(Y65="","",VLOOKUP(Y65,Employees!A:W,23,0))</f>
        <v/>
      </c>
      <c r="AA65" t="str">
        <f>IF(Table3[[#This Row],[Joining_Date]]="","",TEXT(Z65,"MMM-YY"))</f>
        <v/>
      </c>
      <c r="AD65" t="str">
        <f>IFERROR(IF(AC65="","",COUNTIFS(Table3[Joining Date],AC65)),"")</f>
        <v/>
      </c>
    </row>
    <row r="66" spans="6:30" x14ac:dyDescent="0.25">
      <c r="F66" t="str">
        <f>IF(E66="","",VLOOKUP(E66,'Payroll Sheet'!$E$11:$U$1048576,2,0))</f>
        <v/>
      </c>
      <c r="G66" s="34" t="str">
        <f>IF(E66="","",VLOOKUP(E66,'Payroll Sheet'!$E$11:$U$1048576,10,0))</f>
        <v/>
      </c>
      <c r="H66" s="34" t="str">
        <f t="shared" si="0"/>
        <v/>
      </c>
      <c r="I66" t="str" cm="1">
        <f t="array" ref="I66">IF(E66="","",_xlfn.IFS(AND(H66&gt;$F$13,H66&lt;=$G$13),$E$13,AND(H66&gt;$F$14,H66&lt;=$G$14),$E$14,AND(H66&gt;$F$15,H66&lt;=$G$15),$E$15,AND(H66&gt;$F$16,H66&lt;=$G$16),$E$16,AND(H66&gt;$F$17,H66&lt;=$G$17),$E$17,AND(H66&gt;$F$18,H66&lt;=$G$18),$E$18,AND(H66&gt;$F$19,H66&lt;=$G$19),$E$19))</f>
        <v/>
      </c>
      <c r="J66" t="str">
        <f t="shared" si="4"/>
        <v/>
      </c>
      <c r="K66" s="38" t="str">
        <f t="shared" si="5"/>
        <v/>
      </c>
      <c r="L66" s="34" t="str">
        <f t="shared" si="11"/>
        <v/>
      </c>
      <c r="M66" s="39" t="str">
        <f t="shared" si="6"/>
        <v/>
      </c>
      <c r="N66" t="str">
        <f t="shared" si="7"/>
        <v/>
      </c>
      <c r="O66" t="str">
        <f t="shared" si="8"/>
        <v/>
      </c>
      <c r="P66" s="34" t="str">
        <f t="shared" si="9"/>
        <v/>
      </c>
      <c r="Q66" t="str">
        <f>IF(E66="","",VLOOKUP(E66,#REF!,4,0))</f>
        <v/>
      </c>
      <c r="R66" t="str">
        <f t="shared" si="2"/>
        <v/>
      </c>
      <c r="S66" t="str">
        <f t="shared" si="3"/>
        <v/>
      </c>
      <c r="T66" s="58" t="str">
        <f t="shared" si="10"/>
        <v/>
      </c>
      <c r="U66" t="str">
        <f>IF(E66="","",IF(DASHBOARD!$E$7&gt;Calculations!T66,"YES","NO"))</f>
        <v/>
      </c>
      <c r="V66" t="str">
        <f>IF(E66="","",VLOOKUP(E66,Employees!A:Q,17,0))</f>
        <v/>
      </c>
      <c r="Y66" t="str">
        <f>IFERROR(IF(AND(Employees!A64&lt;&gt;"",Employees!D64&lt;&gt;"NULL"),Employees!A64,""),"")</f>
        <v/>
      </c>
      <c r="Z66" t="str">
        <f>IF(Y66="","",VLOOKUP(Y66,Employees!A:W,23,0))</f>
        <v/>
      </c>
      <c r="AA66" t="str">
        <f>IF(Table3[[#This Row],[Joining_Date]]="","",TEXT(Z66,"MMM-YY"))</f>
        <v/>
      </c>
      <c r="AD66" t="str">
        <f>IFERROR(IF(AC66="","",COUNTIFS(Table3[Joining Date],AC66)),"")</f>
        <v/>
      </c>
    </row>
    <row r="67" spans="6:30" x14ac:dyDescent="0.25">
      <c r="F67" t="str">
        <f>IF(E67="","",VLOOKUP(E67,'Payroll Sheet'!$E$11:$U$1048576,2,0))</f>
        <v/>
      </c>
      <c r="G67" s="34" t="str">
        <f>IF(E67="","",VLOOKUP(E67,'Payroll Sheet'!$E$11:$U$1048576,10,0))</f>
        <v/>
      </c>
      <c r="H67" s="34" t="str">
        <f t="shared" si="0"/>
        <v/>
      </c>
      <c r="I67" t="str" cm="1">
        <f t="array" ref="I67">IF(E67="","",_xlfn.IFS(AND(H67&gt;$F$13,H67&lt;=$G$13),$E$13,AND(H67&gt;$F$14,H67&lt;=$G$14),$E$14,AND(H67&gt;$F$15,H67&lt;=$G$15),$E$15,AND(H67&gt;$F$16,H67&lt;=$G$16),$E$16,AND(H67&gt;$F$17,H67&lt;=$G$17),$E$17,AND(H67&gt;$F$18,H67&lt;=$G$18),$E$18,AND(H67&gt;$F$19,H67&lt;=$G$19),$E$19))</f>
        <v/>
      </c>
      <c r="J67" t="str">
        <f t="shared" si="4"/>
        <v/>
      </c>
      <c r="K67" s="38" t="str">
        <f t="shared" si="5"/>
        <v/>
      </c>
      <c r="L67" s="34" t="str">
        <f t="shared" si="11"/>
        <v/>
      </c>
      <c r="M67" s="39" t="str">
        <f t="shared" si="6"/>
        <v/>
      </c>
      <c r="N67" t="str">
        <f t="shared" si="7"/>
        <v/>
      </c>
      <c r="O67" t="str">
        <f t="shared" si="8"/>
        <v/>
      </c>
      <c r="P67" s="34" t="str">
        <f t="shared" si="9"/>
        <v/>
      </c>
      <c r="Q67" t="str">
        <f>IF(E67="","",VLOOKUP(E67,#REF!,4,0))</f>
        <v/>
      </c>
      <c r="R67" t="str">
        <f t="shared" si="2"/>
        <v/>
      </c>
      <c r="S67" t="str">
        <f t="shared" si="3"/>
        <v/>
      </c>
      <c r="T67" s="58" t="str">
        <f t="shared" si="10"/>
        <v/>
      </c>
      <c r="U67" t="str">
        <f>IF(E67="","",IF(DASHBOARD!$E$7&gt;Calculations!T67,"YES","NO"))</f>
        <v/>
      </c>
      <c r="V67" t="str">
        <f>IF(E67="","",VLOOKUP(E67,Employees!A:Q,17,0))</f>
        <v/>
      </c>
      <c r="Y67" t="str">
        <f>IFERROR(IF(AND(Employees!A65&lt;&gt;"",Employees!D65&lt;&gt;"NULL"),Employees!A65,""),"")</f>
        <v/>
      </c>
      <c r="Z67" t="str">
        <f>IF(Y67="","",VLOOKUP(Y67,Employees!A:W,23,0))</f>
        <v/>
      </c>
      <c r="AA67" t="str">
        <f>IF(Table3[[#This Row],[Joining_Date]]="","",TEXT(Z67,"MMM-YY"))</f>
        <v/>
      </c>
      <c r="AD67" t="str">
        <f>IFERROR(IF(AC67="","",COUNTIFS(Table3[Joining Date],AC67)),"")</f>
        <v/>
      </c>
    </row>
    <row r="68" spans="6:30" x14ac:dyDescent="0.25">
      <c r="F68" t="str">
        <f>IF(E68="","",VLOOKUP(E68,'Payroll Sheet'!$E$11:$U$1048576,2,0))</f>
        <v/>
      </c>
      <c r="G68" s="34" t="str">
        <f>IF(E68="","",VLOOKUP(E68,'Payroll Sheet'!$E$11:$U$1048576,10,0))</f>
        <v/>
      </c>
      <c r="H68" s="34" t="str">
        <f t="shared" si="0"/>
        <v/>
      </c>
      <c r="I68" t="str" cm="1">
        <f t="array" ref="I68">IF(E68="","",_xlfn.IFS(AND(H68&gt;$F$13,H68&lt;=$G$13),$E$13,AND(H68&gt;$F$14,H68&lt;=$G$14),$E$14,AND(H68&gt;$F$15,H68&lt;=$G$15),$E$15,AND(H68&gt;$F$16,H68&lt;=$G$16),$E$16,AND(H68&gt;$F$17,H68&lt;=$G$17),$E$17,AND(H68&gt;$F$18,H68&lt;=$G$18),$E$18,AND(H68&gt;$F$19,H68&lt;=$G$19),$E$19))</f>
        <v/>
      </c>
      <c r="J68" t="str">
        <f t="shared" si="4"/>
        <v/>
      </c>
      <c r="K68" s="38" t="str">
        <f t="shared" si="5"/>
        <v/>
      </c>
      <c r="L68" s="34" t="str">
        <f t="shared" si="11"/>
        <v/>
      </c>
      <c r="M68" s="39" t="str">
        <f t="shared" si="6"/>
        <v/>
      </c>
      <c r="N68" t="str">
        <f t="shared" si="7"/>
        <v/>
      </c>
      <c r="O68" t="str">
        <f t="shared" si="8"/>
        <v/>
      </c>
      <c r="P68" s="34" t="str">
        <f t="shared" si="9"/>
        <v/>
      </c>
      <c r="Q68" t="str">
        <f>IF(E68="","",VLOOKUP(E68,#REF!,4,0))</f>
        <v/>
      </c>
      <c r="R68" t="str">
        <f t="shared" si="2"/>
        <v/>
      </c>
      <c r="S68" t="str">
        <f t="shared" si="3"/>
        <v/>
      </c>
      <c r="T68" s="58" t="str">
        <f t="shared" si="10"/>
        <v/>
      </c>
      <c r="U68" t="str">
        <f>IF(E68="","",IF(DASHBOARD!$E$7&gt;Calculations!T68,"YES","NO"))</f>
        <v/>
      </c>
      <c r="V68" t="str">
        <f>IF(E68="","",VLOOKUP(E68,Employees!A:Q,17,0))</f>
        <v/>
      </c>
      <c r="Y68" t="str">
        <f>IFERROR(IF(AND(Employees!A66&lt;&gt;"",Employees!D66&lt;&gt;"NULL"),Employees!A66,""),"")</f>
        <v/>
      </c>
      <c r="Z68" t="str">
        <f>IF(Y68="","",VLOOKUP(Y68,Employees!A:W,23,0))</f>
        <v/>
      </c>
      <c r="AA68" t="str">
        <f>IF(Table3[[#This Row],[Joining_Date]]="","",TEXT(Z68,"MMM-YY"))</f>
        <v/>
      </c>
      <c r="AD68" t="str">
        <f>IFERROR(IF(AC68="","",COUNTIFS(Table3[Joining Date],AC68)),"")</f>
        <v/>
      </c>
    </row>
    <row r="69" spans="6:30" x14ac:dyDescent="0.25">
      <c r="F69" t="str">
        <f>IF(E69="","",VLOOKUP(E69,'Payroll Sheet'!$E$11:$U$1048576,2,0))</f>
        <v/>
      </c>
      <c r="G69" s="34" t="str">
        <f>IF(E69="","",VLOOKUP(E69,'Payroll Sheet'!$E$11:$U$1048576,10,0))</f>
        <v/>
      </c>
      <c r="H69" s="34" t="str">
        <f t="shared" si="0"/>
        <v/>
      </c>
      <c r="I69" t="str" cm="1">
        <f t="array" ref="I69">IF(E69="","",_xlfn.IFS(AND(H69&gt;$F$13,H69&lt;=$G$13),$E$13,AND(H69&gt;$F$14,H69&lt;=$G$14),$E$14,AND(H69&gt;$F$15,H69&lt;=$G$15),$E$15,AND(H69&gt;$F$16,H69&lt;=$G$16),$E$16,AND(H69&gt;$F$17,H69&lt;=$G$17),$E$17,AND(H69&gt;$F$18,H69&lt;=$G$18),$E$18,AND(H69&gt;$F$19,H69&lt;=$G$19),$E$19))</f>
        <v/>
      </c>
      <c r="J69" t="str">
        <f t="shared" si="4"/>
        <v/>
      </c>
      <c r="K69" s="38" t="str">
        <f t="shared" si="5"/>
        <v/>
      </c>
      <c r="L69" s="34" t="str">
        <f t="shared" si="11"/>
        <v/>
      </c>
      <c r="M69" s="39" t="str">
        <f t="shared" si="6"/>
        <v/>
      </c>
      <c r="N69" t="str">
        <f t="shared" si="7"/>
        <v/>
      </c>
      <c r="O69" t="str">
        <f t="shared" si="8"/>
        <v/>
      </c>
      <c r="P69" s="34" t="str">
        <f t="shared" si="9"/>
        <v/>
      </c>
      <c r="Q69" t="str">
        <f>IF(E69="","",VLOOKUP(E69,#REF!,4,0))</f>
        <v/>
      </c>
      <c r="R69" t="str">
        <f t="shared" si="2"/>
        <v/>
      </c>
      <c r="S69" t="str">
        <f t="shared" si="3"/>
        <v/>
      </c>
      <c r="T69" s="58" t="str">
        <f t="shared" si="10"/>
        <v/>
      </c>
      <c r="U69" t="str">
        <f>IF(E69="","",IF(DASHBOARD!$E$7&gt;Calculations!T69,"YES","NO"))</f>
        <v/>
      </c>
      <c r="V69" t="str">
        <f>IF(E69="","",VLOOKUP(E69,Employees!A:Q,17,0))</f>
        <v/>
      </c>
      <c r="Y69" t="str">
        <f>IFERROR(IF(AND(Employees!A67&lt;&gt;"",Employees!D67&lt;&gt;"NULL"),Employees!A67,""),"")</f>
        <v/>
      </c>
      <c r="Z69" t="str">
        <f>IF(Y69="","",VLOOKUP(Y69,Employees!A:W,23,0))</f>
        <v/>
      </c>
      <c r="AA69" t="str">
        <f>IF(Table3[[#This Row],[Joining_Date]]="","",TEXT(Z69,"MMM-YY"))</f>
        <v/>
      </c>
      <c r="AD69" t="str">
        <f>IFERROR(IF(AC69="","",COUNTIFS(Table3[Joining Date],AC69)),"")</f>
        <v/>
      </c>
    </row>
    <row r="70" spans="6:30" x14ac:dyDescent="0.25">
      <c r="F70" t="str">
        <f>IF(E70="","",VLOOKUP(E70,'Payroll Sheet'!$E$11:$U$1048576,2,0))</f>
        <v/>
      </c>
      <c r="G70" s="34" t="str">
        <f>IF(E70="","",VLOOKUP(E70,'Payroll Sheet'!$E$11:$U$1048576,10,0))</f>
        <v/>
      </c>
      <c r="H70" s="34" t="str">
        <f t="shared" si="0"/>
        <v/>
      </c>
      <c r="I70" t="str" cm="1">
        <f t="array" ref="I70">IF(E70="","",_xlfn.IFS(AND(H70&gt;$F$13,H70&lt;=$G$13),$E$13,AND(H70&gt;$F$14,H70&lt;=$G$14),$E$14,AND(H70&gt;$F$15,H70&lt;=$G$15),$E$15,AND(H70&gt;$F$16,H70&lt;=$G$16),$E$16,AND(H70&gt;$F$17,H70&lt;=$G$17),$E$17,AND(H70&gt;$F$18,H70&lt;=$G$18),$E$18,AND(H70&gt;$F$19,H70&lt;=$G$19),$E$19))</f>
        <v/>
      </c>
      <c r="J70" t="str">
        <f t="shared" si="4"/>
        <v/>
      </c>
      <c r="K70" s="38" t="str">
        <f t="shared" si="5"/>
        <v/>
      </c>
      <c r="L70" s="34" t="str">
        <f t="shared" si="11"/>
        <v/>
      </c>
      <c r="M70" s="39" t="str">
        <f t="shared" si="6"/>
        <v/>
      </c>
      <c r="N70" t="str">
        <f t="shared" si="7"/>
        <v/>
      </c>
      <c r="O70" t="str">
        <f t="shared" si="8"/>
        <v/>
      </c>
      <c r="P70" s="34" t="str">
        <f t="shared" si="9"/>
        <v/>
      </c>
      <c r="Q70" t="str">
        <f>IF(E70="","",VLOOKUP(E70,#REF!,4,0))</f>
        <v/>
      </c>
      <c r="R70" t="str">
        <f t="shared" si="2"/>
        <v/>
      </c>
      <c r="S70" t="str">
        <f t="shared" si="3"/>
        <v/>
      </c>
      <c r="T70" s="58" t="str">
        <f t="shared" si="10"/>
        <v/>
      </c>
      <c r="U70" t="str">
        <f>IF(E70="","",IF(DASHBOARD!$E$7&gt;Calculations!T70,"YES","NO"))</f>
        <v/>
      </c>
      <c r="V70" t="str">
        <f>IF(E70="","",VLOOKUP(E70,Employees!A:Q,17,0))</f>
        <v/>
      </c>
      <c r="Y70" t="str">
        <f>IFERROR(IF(AND(Employees!A68&lt;&gt;"",Employees!D68&lt;&gt;"NULL"),Employees!A68,""),"")</f>
        <v/>
      </c>
      <c r="Z70" t="str">
        <f>IF(Y70="","",VLOOKUP(Y70,Employees!A:W,23,0))</f>
        <v/>
      </c>
      <c r="AA70" t="str">
        <f>IF(Table3[[#This Row],[Joining_Date]]="","",TEXT(Z70,"MMM-YY"))</f>
        <v/>
      </c>
      <c r="AD70" t="str">
        <f>IFERROR(IF(AC70="","",COUNTIFS(Table3[Joining Date],AC70)),"")</f>
        <v/>
      </c>
    </row>
    <row r="71" spans="6:30" x14ac:dyDescent="0.25">
      <c r="F71" t="str">
        <f>IF(E71="","",VLOOKUP(E71,'Payroll Sheet'!$E$11:$U$1048576,2,0))</f>
        <v/>
      </c>
      <c r="G71" s="34" t="str">
        <f>IF(E71="","",VLOOKUP(E71,'Payroll Sheet'!$E$11:$U$1048576,10,0))</f>
        <v/>
      </c>
      <c r="H71" s="34" t="str">
        <f t="shared" si="0"/>
        <v/>
      </c>
      <c r="I71" t="str" cm="1">
        <f t="array" ref="I71">IF(E71="","",_xlfn.IFS(AND(H71&gt;$F$13,H71&lt;=$G$13),$E$13,AND(H71&gt;$F$14,H71&lt;=$G$14),$E$14,AND(H71&gt;$F$15,H71&lt;=$G$15),$E$15,AND(H71&gt;$F$16,H71&lt;=$G$16),$E$16,AND(H71&gt;$F$17,H71&lt;=$G$17),$E$17,AND(H71&gt;$F$18,H71&lt;=$G$18),$E$18,AND(H71&gt;$F$19,H71&lt;=$G$19),$E$19))</f>
        <v/>
      </c>
      <c r="J71" t="str">
        <f t="shared" si="4"/>
        <v/>
      </c>
      <c r="K71" s="38" t="str">
        <f t="shared" si="5"/>
        <v/>
      </c>
      <c r="L71" s="34" t="str">
        <f t="shared" si="11"/>
        <v/>
      </c>
      <c r="M71" s="39" t="str">
        <f t="shared" si="6"/>
        <v/>
      </c>
      <c r="N71" t="str">
        <f t="shared" si="7"/>
        <v/>
      </c>
      <c r="O71" t="str">
        <f t="shared" si="8"/>
        <v/>
      </c>
      <c r="P71" s="34" t="str">
        <f t="shared" si="9"/>
        <v/>
      </c>
      <c r="Q71" t="str">
        <f>IF(E71="","",VLOOKUP(E71,#REF!,4,0))</f>
        <v/>
      </c>
      <c r="R71" t="str">
        <f t="shared" si="2"/>
        <v/>
      </c>
      <c r="S71" t="str">
        <f t="shared" si="3"/>
        <v/>
      </c>
      <c r="T71" s="58" t="str">
        <f t="shared" si="10"/>
        <v/>
      </c>
      <c r="U71" t="str">
        <f>IF(E71="","",IF(DASHBOARD!$E$7&gt;Calculations!T71,"YES","NO"))</f>
        <v/>
      </c>
      <c r="V71" t="str">
        <f>IF(E71="","",VLOOKUP(E71,Employees!A:Q,17,0))</f>
        <v/>
      </c>
      <c r="Y71" t="str">
        <f>IFERROR(IF(AND(Employees!A69&lt;&gt;"",Employees!D69&lt;&gt;"NULL"),Employees!A69,""),"")</f>
        <v/>
      </c>
      <c r="Z71" t="str">
        <f>IF(Y71="","",VLOOKUP(Y71,Employees!A:W,23,0))</f>
        <v/>
      </c>
      <c r="AA71" t="str">
        <f>IF(Table3[[#This Row],[Joining_Date]]="","",TEXT(Z71,"MMM-YY"))</f>
        <v/>
      </c>
      <c r="AD71" t="str">
        <f>IFERROR(IF(AC71="","",COUNTIFS(Table3[Joining Date],AC71)),"")</f>
        <v/>
      </c>
    </row>
    <row r="72" spans="6:30" x14ac:dyDescent="0.25">
      <c r="J72" t="str">
        <f t="shared" si="4"/>
        <v/>
      </c>
      <c r="K72" s="38" t="str">
        <f t="shared" si="5"/>
        <v/>
      </c>
      <c r="L72" s="34" t="str">
        <f t="shared" si="11"/>
        <v/>
      </c>
      <c r="M72" s="39" t="str">
        <f t="shared" si="6"/>
        <v/>
      </c>
      <c r="N72" t="str">
        <f t="shared" si="7"/>
        <v/>
      </c>
      <c r="O72" t="str">
        <f t="shared" si="8"/>
        <v/>
      </c>
      <c r="P72" s="34" t="str">
        <f t="shared" si="9"/>
        <v/>
      </c>
      <c r="Q72" t="str">
        <f>IF(E72="","",VLOOKUP(E72,#REF!,4,0))</f>
        <v/>
      </c>
      <c r="R72" t="str">
        <f t="shared" si="2"/>
        <v/>
      </c>
      <c r="S72" t="str">
        <f t="shared" si="3"/>
        <v/>
      </c>
      <c r="T72" s="58" t="str">
        <f t="shared" si="10"/>
        <v/>
      </c>
      <c r="U72" t="str">
        <f>IF(E72="","",IF(DASHBOARD!$E$7&gt;Calculations!T72,"YES","NO"))</f>
        <v/>
      </c>
      <c r="V72" t="str">
        <f>IF(E72="","",VLOOKUP(E72,Employees!A:Q,17,0))</f>
        <v/>
      </c>
      <c r="Y72" t="str">
        <f>IFERROR(IF(AND(Employees!A70&lt;&gt;"",Employees!D70&lt;&gt;"NULL"),Employees!A70,""),"")</f>
        <v/>
      </c>
      <c r="Z72" t="str">
        <f>IF(Y72="","",VLOOKUP(Y72,Employees!A:W,23,0))</f>
        <v/>
      </c>
      <c r="AA72" t="str">
        <f>IF(Table3[[#This Row],[Joining_Date]]="","",TEXT(Z72,"MMM-YY"))</f>
        <v/>
      </c>
      <c r="AD72" t="str">
        <f>IFERROR(IF(AC72="","",COUNTIFS(Table3[Joining Date],AC72)),"")</f>
        <v/>
      </c>
    </row>
    <row r="73" spans="6:30" x14ac:dyDescent="0.25">
      <c r="J73" t="str">
        <f t="shared" si="4"/>
        <v/>
      </c>
      <c r="K73" s="38" t="str">
        <f t="shared" si="5"/>
        <v/>
      </c>
      <c r="L73" s="34" t="str">
        <f t="shared" si="11"/>
        <v/>
      </c>
      <c r="M73" s="39" t="str">
        <f t="shared" si="6"/>
        <v/>
      </c>
      <c r="N73" t="str">
        <f t="shared" si="7"/>
        <v/>
      </c>
      <c r="O73" t="str">
        <f t="shared" si="8"/>
        <v/>
      </c>
      <c r="P73" s="34" t="str">
        <f t="shared" si="9"/>
        <v/>
      </c>
      <c r="Q73" t="str">
        <f>IF(E73="","",VLOOKUP(E73,#REF!,4,0))</f>
        <v/>
      </c>
      <c r="R73" t="str">
        <f t="shared" si="2"/>
        <v/>
      </c>
      <c r="S73" t="str">
        <f t="shared" si="3"/>
        <v/>
      </c>
      <c r="T73" s="58" t="str">
        <f t="shared" si="10"/>
        <v/>
      </c>
      <c r="U73" t="str">
        <f>IF(E73="","",IF(DASHBOARD!$E$7&gt;Calculations!T73,"YES","NO"))</f>
        <v/>
      </c>
      <c r="V73" t="str">
        <f>IF(E73="","",VLOOKUP(E73,Employees!A:Q,17,0))</f>
        <v/>
      </c>
      <c r="Y73" t="str">
        <f>IFERROR(IF(AND(Employees!A71&lt;&gt;"",Employees!D71&lt;&gt;"NULL"),Employees!A71,""),"")</f>
        <v/>
      </c>
      <c r="Z73" t="str">
        <f>IF(Y73="","",VLOOKUP(Y73,Employees!A:W,23,0))</f>
        <v/>
      </c>
      <c r="AA73" t="str">
        <f>IF(Table3[[#This Row],[Joining_Date]]="","",TEXT(Z73,"MMM-YY"))</f>
        <v/>
      </c>
      <c r="AD73" t="str">
        <f>IFERROR(IF(AC73="","",COUNTIFS(Table3[Joining Date],AC73)),"")</f>
        <v/>
      </c>
    </row>
    <row r="74" spans="6:30" x14ac:dyDescent="0.25">
      <c r="J74" t="str">
        <f t="shared" si="4"/>
        <v/>
      </c>
      <c r="K74" s="38" t="str">
        <f t="shared" si="5"/>
        <v/>
      </c>
      <c r="L74" s="34" t="str">
        <f t="shared" si="11"/>
        <v/>
      </c>
      <c r="M74" s="39" t="str">
        <f t="shared" si="6"/>
        <v/>
      </c>
      <c r="N74" t="str">
        <f t="shared" si="7"/>
        <v/>
      </c>
      <c r="O74" t="str">
        <f t="shared" si="8"/>
        <v/>
      </c>
      <c r="P74" s="34" t="str">
        <f t="shared" si="9"/>
        <v/>
      </c>
      <c r="Q74" t="str">
        <f>IF(E74="","",VLOOKUP(E74,#REF!,4,0))</f>
        <v/>
      </c>
      <c r="R74" t="str">
        <f t="shared" si="2"/>
        <v/>
      </c>
      <c r="S74" t="str">
        <f t="shared" si="3"/>
        <v/>
      </c>
      <c r="T74" s="58" t="str">
        <f t="shared" si="10"/>
        <v/>
      </c>
      <c r="U74" t="str">
        <f>IF(E74="","",IF(DASHBOARD!$E$7&gt;Calculations!T74,"YES","NO"))</f>
        <v/>
      </c>
      <c r="V74" t="str">
        <f>IF(E74="","",VLOOKUP(E74,Employees!A:Q,17,0))</f>
        <v/>
      </c>
      <c r="Y74" t="str">
        <f>IFERROR(IF(AND(Employees!A72&lt;&gt;"",Employees!D72&lt;&gt;"NULL"),Employees!A72,""),"")</f>
        <v/>
      </c>
      <c r="Z74" t="str">
        <f>IF(Y74="","",VLOOKUP(Y74,Employees!A:W,23,0))</f>
        <v/>
      </c>
      <c r="AA74" t="str">
        <f>IF(Table3[[#This Row],[Joining_Date]]="","",TEXT(Z74,"MMM-YY"))</f>
        <v/>
      </c>
      <c r="AD74" t="str">
        <f>IFERROR(IF(AC74="","",COUNTIFS(Table3[Joining Date],AC74)),"")</f>
        <v/>
      </c>
    </row>
    <row r="75" spans="6:30" x14ac:dyDescent="0.25">
      <c r="J75" t="str">
        <f t="shared" si="4"/>
        <v/>
      </c>
      <c r="K75" s="38" t="str">
        <f t="shared" si="5"/>
        <v/>
      </c>
      <c r="L75" s="34" t="str">
        <f t="shared" si="11"/>
        <v/>
      </c>
      <c r="M75" s="39" t="str">
        <f t="shared" si="6"/>
        <v/>
      </c>
      <c r="N75" t="str">
        <f t="shared" si="7"/>
        <v/>
      </c>
      <c r="O75" t="str">
        <f t="shared" si="8"/>
        <v/>
      </c>
      <c r="P75" s="34" t="str">
        <f t="shared" si="9"/>
        <v/>
      </c>
      <c r="Q75" t="str">
        <f>IF(E75="","",VLOOKUP(E75,#REF!,4,0))</f>
        <v/>
      </c>
      <c r="R75" t="str">
        <f t="shared" si="2"/>
        <v/>
      </c>
      <c r="S75" t="str">
        <f t="shared" si="3"/>
        <v/>
      </c>
      <c r="T75" s="58" t="str">
        <f t="shared" si="10"/>
        <v/>
      </c>
      <c r="U75" t="str">
        <f>IF(E75="","",IF(DASHBOARD!$E$7&gt;Calculations!T75,"YES","NO"))</f>
        <v/>
      </c>
      <c r="V75" t="str">
        <f>IF(E75="","",VLOOKUP(E75,Employees!A:Q,17,0))</f>
        <v/>
      </c>
      <c r="Y75" t="str">
        <f>IFERROR(IF(AND(Employees!A73&lt;&gt;"",Employees!D73&lt;&gt;"NULL"),Employees!A73,""),"")</f>
        <v/>
      </c>
      <c r="Z75" t="str">
        <f>IF(Y75="","",VLOOKUP(Y75,Employees!A:W,23,0))</f>
        <v/>
      </c>
      <c r="AA75" t="str">
        <f>IF(Table3[[#This Row],[Joining_Date]]="","",TEXT(Z75,"MMM-YY"))</f>
        <v/>
      </c>
      <c r="AD75" t="str">
        <f>IFERROR(IF(AC75="","",COUNTIFS(Table3[Joining Date],AC75)),"")</f>
        <v/>
      </c>
    </row>
    <row r="76" spans="6:30" x14ac:dyDescent="0.25">
      <c r="J76" t="str">
        <f t="shared" si="4"/>
        <v/>
      </c>
      <c r="K76" s="38" t="str">
        <f t="shared" si="5"/>
        <v/>
      </c>
      <c r="L76" s="34" t="str">
        <f t="shared" si="11"/>
        <v/>
      </c>
      <c r="M76" s="39" t="str">
        <f t="shared" si="6"/>
        <v/>
      </c>
      <c r="N76" t="str">
        <f t="shared" si="7"/>
        <v/>
      </c>
      <c r="O76" t="str">
        <f t="shared" si="8"/>
        <v/>
      </c>
      <c r="P76" s="34" t="str">
        <f t="shared" si="9"/>
        <v/>
      </c>
      <c r="Q76" t="str">
        <f>IF(E76="","",VLOOKUP(E76,#REF!,4,0))</f>
        <v/>
      </c>
      <c r="R76" t="str">
        <f t="shared" si="2"/>
        <v/>
      </c>
      <c r="S76" t="str">
        <f t="shared" si="3"/>
        <v/>
      </c>
      <c r="T76" s="58" t="str">
        <f t="shared" si="10"/>
        <v/>
      </c>
      <c r="U76" t="str">
        <f>IF(E76="","",IF(DASHBOARD!$E$7&gt;Calculations!T76,"YES","NO"))</f>
        <v/>
      </c>
      <c r="V76" t="str">
        <f>IF(E76="","",VLOOKUP(E76,Employees!A:Q,17,0))</f>
        <v/>
      </c>
      <c r="Y76" t="str">
        <f>IFERROR(IF(AND(Employees!A74&lt;&gt;"",Employees!D74&lt;&gt;"NULL"),Employees!A74,""),"")</f>
        <v/>
      </c>
      <c r="Z76" t="str">
        <f>IF(Y76="","",VLOOKUP(Y76,Employees!A:W,23,0))</f>
        <v/>
      </c>
      <c r="AA76" t="str">
        <f>IF(Table3[[#This Row],[Joining_Date]]="","",TEXT(Z76,"MMM-YY"))</f>
        <v/>
      </c>
      <c r="AD76" t="str">
        <f>IFERROR(IF(AC76="","",COUNTIFS(Table3[Joining Date],AC76)),"")</f>
        <v/>
      </c>
    </row>
    <row r="77" spans="6:30" x14ac:dyDescent="0.25">
      <c r="J77" t="str">
        <f t="shared" si="4"/>
        <v/>
      </c>
      <c r="K77" s="38" t="str">
        <f t="shared" si="5"/>
        <v/>
      </c>
      <c r="L77" s="34" t="str">
        <f t="shared" si="11"/>
        <v/>
      </c>
      <c r="M77" s="39" t="str">
        <f t="shared" si="6"/>
        <v/>
      </c>
      <c r="N77" t="str">
        <f t="shared" si="7"/>
        <v/>
      </c>
      <c r="O77" t="str">
        <f t="shared" si="8"/>
        <v/>
      </c>
      <c r="P77" s="34" t="str">
        <f t="shared" si="9"/>
        <v/>
      </c>
      <c r="Q77" t="str">
        <f>IF(E77="","",VLOOKUP(E77,#REF!,4,0))</f>
        <v/>
      </c>
      <c r="R77" t="str">
        <f t="shared" si="2"/>
        <v/>
      </c>
      <c r="S77" t="str">
        <f t="shared" si="3"/>
        <v/>
      </c>
      <c r="T77" s="58" t="str">
        <f t="shared" si="10"/>
        <v/>
      </c>
      <c r="U77" t="str">
        <f>IF(E77="","",IF(DASHBOARD!$E$7&gt;Calculations!T77,"YES","NO"))</f>
        <v/>
      </c>
      <c r="V77" t="str">
        <f>IF(E77="","",VLOOKUP(E77,Employees!A:Q,17,0))</f>
        <v/>
      </c>
      <c r="Y77" t="str">
        <f>IFERROR(IF(AND(Employees!A75&lt;&gt;"",Employees!D75&lt;&gt;"NULL"),Employees!A75,""),"")</f>
        <v/>
      </c>
      <c r="Z77" t="str">
        <f>IF(Y77="","",VLOOKUP(Y77,Employees!A:W,23,0))</f>
        <v/>
      </c>
      <c r="AA77" t="str">
        <f>IF(Table3[[#This Row],[Joining_Date]]="","",TEXT(Z77,"MMM-YY"))</f>
        <v/>
      </c>
      <c r="AD77" t="str">
        <f>IFERROR(IF(AC77="","",COUNTIFS(Table3[Joining Date],AC77)),"")</f>
        <v/>
      </c>
    </row>
    <row r="78" spans="6:30" x14ac:dyDescent="0.25">
      <c r="J78" t="str">
        <f t="shared" si="4"/>
        <v/>
      </c>
      <c r="K78" s="38" t="str">
        <f t="shared" si="5"/>
        <v/>
      </c>
      <c r="L78" s="34" t="str">
        <f t="shared" si="11"/>
        <v/>
      </c>
      <c r="M78" s="39" t="str">
        <f t="shared" si="6"/>
        <v/>
      </c>
      <c r="N78" t="str">
        <f t="shared" si="7"/>
        <v/>
      </c>
      <c r="O78" t="str">
        <f t="shared" si="8"/>
        <v/>
      </c>
      <c r="P78" s="34" t="str">
        <f t="shared" si="9"/>
        <v/>
      </c>
      <c r="Q78" t="str">
        <f>IF(E78="","",VLOOKUP(E78,#REF!,4,0))</f>
        <v/>
      </c>
      <c r="R78" t="str">
        <f t="shared" si="2"/>
        <v/>
      </c>
      <c r="S78" t="str">
        <f t="shared" si="3"/>
        <v/>
      </c>
      <c r="T78" s="58" t="str">
        <f t="shared" si="10"/>
        <v/>
      </c>
      <c r="U78" t="str">
        <f>IF(E78="","",IF(DASHBOARD!$E$7&gt;Calculations!T78,"YES","NO"))</f>
        <v/>
      </c>
      <c r="V78" t="str">
        <f>IF(E78="","",VLOOKUP(E78,Employees!A:Q,17,0))</f>
        <v/>
      </c>
      <c r="Y78" t="str">
        <f>IFERROR(IF(AND(Employees!A76&lt;&gt;"",Employees!D76&lt;&gt;"NULL"),Employees!A76,""),"")</f>
        <v/>
      </c>
      <c r="Z78" t="str">
        <f>IF(Y78="","",VLOOKUP(Y78,Employees!A:W,23,0))</f>
        <v/>
      </c>
      <c r="AA78" t="str">
        <f>IF(Table3[[#This Row],[Joining_Date]]="","",TEXT(Z78,"MMM-YY"))</f>
        <v/>
      </c>
      <c r="AD78" t="str">
        <f>IFERROR(IF(AC78="","",COUNTIFS(Table3[Joining Date],AC78)),"")</f>
        <v/>
      </c>
    </row>
    <row r="79" spans="6:30" x14ac:dyDescent="0.25">
      <c r="J79" t="str">
        <f t="shared" si="4"/>
        <v/>
      </c>
      <c r="K79" s="38" t="str">
        <f t="shared" si="5"/>
        <v/>
      </c>
      <c r="L79" s="34" t="str">
        <f t="shared" si="11"/>
        <v/>
      </c>
      <c r="M79" s="39" t="str">
        <f t="shared" si="6"/>
        <v/>
      </c>
      <c r="N79" t="str">
        <f t="shared" si="7"/>
        <v/>
      </c>
      <c r="O79" t="str">
        <f t="shared" si="8"/>
        <v/>
      </c>
      <c r="P79" s="34" t="str">
        <f t="shared" si="9"/>
        <v/>
      </c>
      <c r="Q79" t="str">
        <f>IF(E79="","",VLOOKUP(E79,#REF!,4,0))</f>
        <v/>
      </c>
      <c r="R79" t="str">
        <f t="shared" si="2"/>
        <v/>
      </c>
      <c r="S79" t="str">
        <f t="shared" si="3"/>
        <v/>
      </c>
      <c r="T79" s="58" t="str">
        <f t="shared" si="10"/>
        <v/>
      </c>
      <c r="U79" t="str">
        <f>IF(E79="","",IF(DASHBOARD!$E$7&gt;Calculations!T79,"YES","NO"))</f>
        <v/>
      </c>
      <c r="V79" t="str">
        <f>IF(E79="","",VLOOKUP(E79,Employees!A:Q,17,0))</f>
        <v/>
      </c>
      <c r="Y79" t="str">
        <f>IFERROR(IF(AND(Employees!A77&lt;&gt;"",Employees!D77&lt;&gt;"NULL"),Employees!A77,""),"")</f>
        <v/>
      </c>
      <c r="Z79" t="str">
        <f>IF(Y79="","",VLOOKUP(Y79,Employees!A:W,23,0))</f>
        <v/>
      </c>
      <c r="AA79" t="str">
        <f>IF(Table3[[#This Row],[Joining_Date]]="","",TEXT(Z79,"MMM-YY"))</f>
        <v/>
      </c>
      <c r="AD79" t="str">
        <f>IFERROR(IF(AC79="","",COUNTIFS(Table3[Joining Date],AC79)),"")</f>
        <v/>
      </c>
    </row>
    <row r="80" spans="6:30" x14ac:dyDescent="0.25">
      <c r="J80" t="str">
        <f t="shared" si="4"/>
        <v/>
      </c>
      <c r="K80" s="38" t="str">
        <f t="shared" si="5"/>
        <v/>
      </c>
      <c r="L80" s="34" t="str">
        <f t="shared" si="11"/>
        <v/>
      </c>
      <c r="M80" s="39" t="str">
        <f t="shared" si="6"/>
        <v/>
      </c>
      <c r="N80" t="str">
        <f t="shared" si="7"/>
        <v/>
      </c>
      <c r="O80" t="str">
        <f t="shared" si="8"/>
        <v/>
      </c>
      <c r="P80" s="34" t="str">
        <f t="shared" si="9"/>
        <v/>
      </c>
      <c r="Q80" t="str">
        <f>IF(E80="","",VLOOKUP(E80,#REF!,4,0))</f>
        <v/>
      </c>
      <c r="R80" t="str">
        <f t="shared" si="2"/>
        <v/>
      </c>
      <c r="S80" t="str">
        <f t="shared" si="3"/>
        <v/>
      </c>
      <c r="T80" s="58" t="str">
        <f t="shared" si="10"/>
        <v/>
      </c>
      <c r="U80" t="str">
        <f>IF(E80="","",IF(DASHBOARD!$E$7&gt;Calculations!T80,"YES","NO"))</f>
        <v/>
      </c>
      <c r="V80" t="str">
        <f>IF(E80="","",VLOOKUP(E80,Employees!A:Q,17,0))</f>
        <v/>
      </c>
      <c r="Y80" t="str">
        <f>IFERROR(IF(AND(Employees!A78&lt;&gt;"",Employees!D78&lt;&gt;"NULL"),Employees!A78,""),"")</f>
        <v/>
      </c>
      <c r="Z80" t="str">
        <f>IF(Y80="","",VLOOKUP(Y80,Employees!A:W,23,0))</f>
        <v/>
      </c>
      <c r="AA80" t="str">
        <f>IF(Table3[[#This Row],[Joining_Date]]="","",TEXT(Z80,"MMM-YY"))</f>
        <v/>
      </c>
      <c r="AD80" t="str">
        <f>IFERROR(IF(AC80="","",COUNTIFS(Table3[Joining Date],AC80)),"")</f>
        <v/>
      </c>
    </row>
    <row r="81" spans="10:30" x14ac:dyDescent="0.25">
      <c r="J81" t="str">
        <f t="shared" si="4"/>
        <v/>
      </c>
      <c r="K81" s="38" t="str">
        <f t="shared" si="5"/>
        <v/>
      </c>
      <c r="L81" s="34" t="str">
        <f t="shared" si="11"/>
        <v/>
      </c>
      <c r="M81" s="39" t="str">
        <f t="shared" si="6"/>
        <v/>
      </c>
      <c r="N81" t="str">
        <f t="shared" si="7"/>
        <v/>
      </c>
      <c r="O81" t="str">
        <f t="shared" si="8"/>
        <v/>
      </c>
      <c r="P81" s="34" t="str">
        <f t="shared" si="9"/>
        <v/>
      </c>
      <c r="Q81" t="str">
        <f>IF(E81="","",VLOOKUP(E81,#REF!,4,0))</f>
        <v/>
      </c>
      <c r="R81" t="str">
        <f t="shared" si="2"/>
        <v/>
      </c>
      <c r="S81" t="str">
        <f t="shared" si="3"/>
        <v/>
      </c>
      <c r="T81" s="58" t="str">
        <f t="shared" si="10"/>
        <v/>
      </c>
      <c r="U81" t="str">
        <f>IF(E81="","",IF(DASHBOARD!$E$7&gt;Calculations!T81,"YES","NO"))</f>
        <v/>
      </c>
      <c r="V81" t="str">
        <f>IF(E81="","",VLOOKUP(E81,Employees!A:Q,17,0))</f>
        <v/>
      </c>
      <c r="Y81" t="str">
        <f>IFERROR(IF(AND(Employees!A79&lt;&gt;"",Employees!D79&lt;&gt;"NULL"),Employees!A79,""),"")</f>
        <v/>
      </c>
      <c r="Z81" t="str">
        <f>IF(Y81="","",VLOOKUP(Y81,Employees!A:W,23,0))</f>
        <v/>
      </c>
      <c r="AA81" t="str">
        <f>IF(Table3[[#This Row],[Joining_Date]]="","",TEXT(Z81,"MMM-YY"))</f>
        <v/>
      </c>
      <c r="AD81" t="str">
        <f>IFERROR(IF(AC81="","",COUNTIFS(Table3[Joining Date],AC81)),"")</f>
        <v/>
      </c>
    </row>
    <row r="82" spans="10:30" x14ac:dyDescent="0.25">
      <c r="J82" t="str">
        <f t="shared" si="4"/>
        <v/>
      </c>
      <c r="K82" s="38" t="str">
        <f t="shared" si="5"/>
        <v/>
      </c>
      <c r="L82" s="34" t="str">
        <f t="shared" si="11"/>
        <v/>
      </c>
      <c r="M82" s="39" t="str">
        <f t="shared" si="6"/>
        <v/>
      </c>
      <c r="N82" t="str">
        <f t="shared" si="7"/>
        <v/>
      </c>
      <c r="O82" t="str">
        <f t="shared" si="8"/>
        <v/>
      </c>
      <c r="P82" s="34" t="str">
        <f t="shared" si="9"/>
        <v/>
      </c>
      <c r="Q82" t="str">
        <f>IF(E82="","",VLOOKUP(E82,#REF!,4,0))</f>
        <v/>
      </c>
      <c r="R82" t="str">
        <f t="shared" si="2"/>
        <v/>
      </c>
      <c r="S82" t="str">
        <f t="shared" si="3"/>
        <v/>
      </c>
      <c r="T82" s="58" t="str">
        <f t="shared" si="10"/>
        <v/>
      </c>
      <c r="U82" t="str">
        <f>IF(E82="","",IF(DASHBOARD!$E$7&gt;Calculations!T82,"YES","NO"))</f>
        <v/>
      </c>
      <c r="V82" t="str">
        <f>IF(E82="","",VLOOKUP(E82,Employees!A:Q,17,0))</f>
        <v/>
      </c>
      <c r="Y82" t="str">
        <f>IFERROR(IF(AND(Employees!A80&lt;&gt;"",Employees!D80&lt;&gt;"NULL"),Employees!A80,""),"")</f>
        <v/>
      </c>
      <c r="Z82" t="str">
        <f>IF(Y82="","",VLOOKUP(Y82,Employees!A:W,23,0))</f>
        <v/>
      </c>
      <c r="AA82" t="str">
        <f>IF(Table3[[#This Row],[Joining_Date]]="","",TEXT(Z82,"MMM-YY"))</f>
        <v/>
      </c>
      <c r="AD82" t="str">
        <f>IFERROR(IF(AC82="","",COUNTIFS(Table3[Joining Date],AC82)),"")</f>
        <v/>
      </c>
    </row>
    <row r="83" spans="10:30" x14ac:dyDescent="0.25">
      <c r="J83" t="str">
        <f t="shared" si="4"/>
        <v/>
      </c>
      <c r="K83" s="38" t="str">
        <f t="shared" si="5"/>
        <v/>
      </c>
      <c r="L83" s="34" t="str">
        <f t="shared" si="11"/>
        <v/>
      </c>
      <c r="M83" s="39" t="str">
        <f t="shared" si="6"/>
        <v/>
      </c>
      <c r="N83" t="str">
        <f t="shared" si="7"/>
        <v/>
      </c>
      <c r="O83" t="str">
        <f t="shared" si="8"/>
        <v/>
      </c>
      <c r="P83" s="34" t="str">
        <f t="shared" si="9"/>
        <v/>
      </c>
      <c r="Q83" t="str">
        <f>IF(E83="","",VLOOKUP(E83,#REF!,4,0))</f>
        <v/>
      </c>
      <c r="R83" t="str">
        <f t="shared" si="2"/>
        <v/>
      </c>
      <c r="S83" t="str">
        <f t="shared" si="3"/>
        <v/>
      </c>
      <c r="T83" s="58" t="str">
        <f t="shared" si="10"/>
        <v/>
      </c>
      <c r="U83" t="str">
        <f>IF(E83="","",IF(DASHBOARD!$E$7&gt;Calculations!T83,"YES","NO"))</f>
        <v/>
      </c>
      <c r="V83" t="str">
        <f>IF(E83="","",VLOOKUP(E83,Employees!A:Q,17,0))</f>
        <v/>
      </c>
      <c r="Y83" t="str">
        <f>IFERROR(IF(AND(Employees!A81&lt;&gt;"",Employees!D81&lt;&gt;"NULL"),Employees!A81,""),"")</f>
        <v/>
      </c>
      <c r="Z83" t="str">
        <f>IF(Y83="","",VLOOKUP(Y83,Employees!A:W,23,0))</f>
        <v/>
      </c>
      <c r="AA83" t="str">
        <f>IF(Table3[[#This Row],[Joining_Date]]="","",TEXT(Z83,"MMM-YY"))</f>
        <v/>
      </c>
      <c r="AD83" t="str">
        <f>IFERROR(IF(AC83="","",COUNTIFS(Table3[Joining Date],AC83)),"")</f>
        <v/>
      </c>
    </row>
    <row r="84" spans="10:30" x14ac:dyDescent="0.25">
      <c r="J84" t="str">
        <f t="shared" si="4"/>
        <v/>
      </c>
      <c r="K84" s="38" t="str">
        <f t="shared" si="5"/>
        <v/>
      </c>
      <c r="L84" s="34" t="str">
        <f t="shared" si="11"/>
        <v/>
      </c>
      <c r="M84" s="39" t="str">
        <f t="shared" si="6"/>
        <v/>
      </c>
      <c r="N84" t="str">
        <f t="shared" si="7"/>
        <v/>
      </c>
      <c r="O84" t="str">
        <f t="shared" si="8"/>
        <v/>
      </c>
      <c r="P84" s="34" t="str">
        <f t="shared" si="9"/>
        <v/>
      </c>
      <c r="Q84" t="str">
        <f>IF(E84="","",VLOOKUP(E84,#REF!,4,0))</f>
        <v/>
      </c>
      <c r="R84" t="str">
        <f t="shared" si="2"/>
        <v/>
      </c>
      <c r="S84" t="str">
        <f t="shared" si="3"/>
        <v/>
      </c>
      <c r="T84" s="58" t="str">
        <f t="shared" si="10"/>
        <v/>
      </c>
      <c r="U84" t="str">
        <f>IF(E84="","",IF(DASHBOARD!$E$7&gt;Calculations!T84,"YES","NO"))</f>
        <v/>
      </c>
      <c r="V84" t="str">
        <f>IF(E84="","",VLOOKUP(E84,Employees!A:Q,17,0))</f>
        <v/>
      </c>
      <c r="Y84" t="str">
        <f>IFERROR(IF(AND(Employees!A82&lt;&gt;"",Employees!D82&lt;&gt;"NULL"),Employees!A82,""),"")</f>
        <v/>
      </c>
      <c r="Z84" t="str">
        <f>IF(Y84="","",VLOOKUP(Y84,Employees!A:W,23,0))</f>
        <v/>
      </c>
      <c r="AA84" t="str">
        <f>IF(Table3[[#This Row],[Joining_Date]]="","",TEXT(Z84,"MMM-YY"))</f>
        <v/>
      </c>
      <c r="AD84" t="str">
        <f>IFERROR(IF(AC84="","",COUNTIFS(Table3[Joining Date],AC84)),"")</f>
        <v/>
      </c>
    </row>
    <row r="85" spans="10:30" x14ac:dyDescent="0.25">
      <c r="J85" t="str">
        <f t="shared" si="4"/>
        <v/>
      </c>
      <c r="K85" s="38" t="str">
        <f t="shared" si="5"/>
        <v/>
      </c>
      <c r="L85" s="34" t="str">
        <f t="shared" si="11"/>
        <v/>
      </c>
      <c r="M85" s="39" t="str">
        <f t="shared" si="6"/>
        <v/>
      </c>
      <c r="N85" t="str">
        <f t="shared" si="7"/>
        <v/>
      </c>
      <c r="O85" t="str">
        <f t="shared" si="8"/>
        <v/>
      </c>
      <c r="P85" s="34" t="str">
        <f t="shared" si="9"/>
        <v/>
      </c>
      <c r="Q85" t="str">
        <f>IF(E85="","",VLOOKUP(E85,#REF!,4,0))</f>
        <v/>
      </c>
      <c r="R85" t="str">
        <f t="shared" si="2"/>
        <v/>
      </c>
      <c r="S85" t="str">
        <f t="shared" si="3"/>
        <v/>
      </c>
      <c r="T85" s="58" t="str">
        <f t="shared" si="10"/>
        <v/>
      </c>
      <c r="U85" t="str">
        <f>IF(E85="","",IF(DASHBOARD!$E$7&gt;Calculations!T85,"YES","NO"))</f>
        <v/>
      </c>
      <c r="V85" t="str">
        <f>IF(E85="","",VLOOKUP(E85,Employees!A:Q,17,0))</f>
        <v/>
      </c>
      <c r="Y85" t="str">
        <f>IFERROR(IF(AND(Employees!A83&lt;&gt;"",Employees!D83&lt;&gt;"NULL"),Employees!A83,""),"")</f>
        <v/>
      </c>
      <c r="Z85" t="str">
        <f>IF(Y85="","",VLOOKUP(Y85,Employees!A:W,23,0))</f>
        <v/>
      </c>
      <c r="AA85" t="str">
        <f>IF(Table3[[#This Row],[Joining_Date]]="","",TEXT(Z85,"MMM-YY"))</f>
        <v/>
      </c>
      <c r="AD85" t="str">
        <f>IFERROR(IF(AC85="","",COUNTIFS(Table3[Joining Date],AC85)),"")</f>
        <v/>
      </c>
    </row>
    <row r="86" spans="10:30" x14ac:dyDescent="0.25">
      <c r="J86" t="str">
        <f t="shared" si="4"/>
        <v/>
      </c>
      <c r="K86" s="38" t="str">
        <f t="shared" si="5"/>
        <v/>
      </c>
      <c r="L86" s="34" t="str">
        <f t="shared" si="11"/>
        <v/>
      </c>
      <c r="M86" s="39" t="str">
        <f t="shared" si="6"/>
        <v/>
      </c>
      <c r="N86" t="str">
        <f t="shared" si="7"/>
        <v/>
      </c>
      <c r="O86" t="str">
        <f t="shared" si="8"/>
        <v/>
      </c>
      <c r="P86" s="34" t="str">
        <f t="shared" si="9"/>
        <v/>
      </c>
      <c r="Q86" t="str">
        <f>IF(E86="","",VLOOKUP(E86,#REF!,4,0))</f>
        <v/>
      </c>
      <c r="R86" t="str">
        <f t="shared" si="2"/>
        <v/>
      </c>
      <c r="S86" t="str">
        <f t="shared" si="3"/>
        <v/>
      </c>
      <c r="T86" s="58" t="str">
        <f t="shared" si="10"/>
        <v/>
      </c>
      <c r="U86" t="str">
        <f>IF(E86="","",IF(DASHBOARD!$E$7&gt;Calculations!T86,"YES","NO"))</f>
        <v/>
      </c>
      <c r="V86" t="str">
        <f>IF(E86="","",VLOOKUP(E86,Employees!A:Q,17,0))</f>
        <v/>
      </c>
      <c r="Y86" t="str">
        <f>IFERROR(IF(AND(Employees!A84&lt;&gt;"",Employees!D84&lt;&gt;"NULL"),Employees!A84,""),"")</f>
        <v/>
      </c>
      <c r="Z86" t="str">
        <f>IF(Y86="","",VLOOKUP(Y86,Employees!A:W,23,0))</f>
        <v/>
      </c>
      <c r="AA86" t="str">
        <f>IF(Table3[[#This Row],[Joining_Date]]="","",TEXT(Z86,"MMM-YY"))</f>
        <v/>
      </c>
      <c r="AD86" t="str">
        <f>IFERROR(IF(AC86="","",COUNTIFS(Table3[Joining Date],AC86)),"")</f>
        <v/>
      </c>
    </row>
    <row r="87" spans="10:30" x14ac:dyDescent="0.25">
      <c r="J87" t="str">
        <f t="shared" si="4"/>
        <v/>
      </c>
      <c r="K87" s="38" t="str">
        <f t="shared" si="5"/>
        <v/>
      </c>
      <c r="L87" s="34" t="str">
        <f t="shared" ref="L87:L99" si="12">IF(E87="","",VLOOKUP(I87,$E$13:$H$19,4,0))</f>
        <v/>
      </c>
      <c r="M87" s="39" t="str">
        <f t="shared" si="6"/>
        <v/>
      </c>
      <c r="N87" t="str">
        <f t="shared" si="7"/>
        <v/>
      </c>
      <c r="O87" t="str">
        <f t="shared" si="8"/>
        <v/>
      </c>
      <c r="P87" s="34" t="str">
        <f t="shared" si="9"/>
        <v/>
      </c>
      <c r="Q87" t="str">
        <f>IF(E87="","",VLOOKUP(E87,#REF!,4,0))</f>
        <v/>
      </c>
      <c r="R87" t="str">
        <f t="shared" ref="R87:R99" si="13">IF(Q87="","",IF(Q87="NULL","",MONTH(Q87)))</f>
        <v/>
      </c>
      <c r="S87" t="str">
        <f t="shared" ref="S87:S99" si="14">IF(Q87="","",IF(Q87="NULL","",YEAR(Q87)))</f>
        <v/>
      </c>
      <c r="T87" s="58" t="str">
        <f t="shared" si="10"/>
        <v/>
      </c>
      <c r="U87" t="str">
        <f>IF(E87="","",IF(DASHBOARD!$E$7&gt;Calculations!T87,"YES","NO"))</f>
        <v/>
      </c>
      <c r="V87" t="str">
        <f>IF(E87="","",VLOOKUP(E87,Employees!A:Q,17,0))</f>
        <v/>
      </c>
      <c r="AD87" t="str">
        <f>IFERROR(IF(AC87="","",COUNTIFS(Table3[Joining Date],AC87)),"")</f>
        <v/>
      </c>
    </row>
    <row r="88" spans="10:30" x14ac:dyDescent="0.25">
      <c r="J88" t="str">
        <f t="shared" ref="J88:J99" si="15">IF(E88="","",VLOOKUP(I88,$E$13:$H$19,2,0))</f>
        <v/>
      </c>
      <c r="K88" s="38" t="str">
        <f t="shared" ref="K88:K99" si="16">IF(E88="","",H88-J88)</f>
        <v/>
      </c>
      <c r="L88" s="34" t="str">
        <f t="shared" si="12"/>
        <v/>
      </c>
      <c r="M88" s="39" t="str">
        <f t="shared" ref="M88:M99" si="17">IF(E88="","",VLOOKUP(I88,$E$13:$J$19,6,0))</f>
        <v/>
      </c>
      <c r="N88" t="str">
        <f t="shared" ref="N88:N99" si="18">IF(E88="","",(K88*M88))</f>
        <v/>
      </c>
      <c r="O88" t="str">
        <f t="shared" ref="O88:O99" si="19">IF(E88="","",L88+N88)</f>
        <v/>
      </c>
      <c r="P88" s="34" t="str">
        <f t="shared" ref="P88:P99" si="20">IF(E88="","",O88/12)</f>
        <v/>
      </c>
      <c r="Q88" t="str">
        <f>IF(E88="","",VLOOKUP(E88,#REF!,4,0))</f>
        <v/>
      </c>
      <c r="R88" t="str">
        <f t="shared" si="13"/>
        <v/>
      </c>
      <c r="S88" t="str">
        <f t="shared" si="14"/>
        <v/>
      </c>
      <c r="T88" s="58" t="str">
        <f t="shared" ref="T88:T99" si="21">IF(E88="","",EDATE(Q88,3))</f>
        <v/>
      </c>
      <c r="U88" t="str">
        <f>IF(E88="","",IF(DASHBOARD!$E$7&gt;Calculations!T88,"YES","NO"))</f>
        <v/>
      </c>
      <c r="V88" t="str">
        <f>IF(E88="","",VLOOKUP(E88,Employees!A:Q,17,0))</f>
        <v/>
      </c>
      <c r="AD88" t="str">
        <f>IFERROR(IF(AC88="","",COUNTIFS(Table3[Joining Date],AC88)),"")</f>
        <v/>
      </c>
    </row>
    <row r="89" spans="10:30" x14ac:dyDescent="0.25">
      <c r="J89" t="str">
        <f t="shared" si="15"/>
        <v/>
      </c>
      <c r="K89" s="38" t="str">
        <f t="shared" si="16"/>
        <v/>
      </c>
      <c r="L89" s="34" t="str">
        <f t="shared" si="12"/>
        <v/>
      </c>
      <c r="M89" s="39" t="str">
        <f t="shared" si="17"/>
        <v/>
      </c>
      <c r="N89" t="str">
        <f t="shared" si="18"/>
        <v/>
      </c>
      <c r="O89" t="str">
        <f t="shared" si="19"/>
        <v/>
      </c>
      <c r="P89" s="34" t="str">
        <f t="shared" si="20"/>
        <v/>
      </c>
      <c r="Q89" t="str">
        <f>IF(E89="","",VLOOKUP(E89,#REF!,4,0))</f>
        <v/>
      </c>
      <c r="R89" t="str">
        <f t="shared" si="13"/>
        <v/>
      </c>
      <c r="S89" t="str">
        <f t="shared" si="14"/>
        <v/>
      </c>
      <c r="T89" s="58" t="str">
        <f t="shared" si="21"/>
        <v/>
      </c>
      <c r="U89" t="str">
        <f>IF(E89="","",IF(DASHBOARD!$E$7&gt;Calculations!T89,"YES","NO"))</f>
        <v/>
      </c>
      <c r="V89" t="str">
        <f>IF(E89="","",VLOOKUP(E89,Employees!A:Q,17,0))</f>
        <v/>
      </c>
      <c r="AD89" t="str">
        <f>IFERROR(IF(AC89="","",COUNTIFS(Table3[Joining Date],AC89)),"")</f>
        <v/>
      </c>
    </row>
    <row r="90" spans="10:30" x14ac:dyDescent="0.25">
      <c r="J90" t="str">
        <f t="shared" si="15"/>
        <v/>
      </c>
      <c r="K90" s="38" t="str">
        <f t="shared" si="16"/>
        <v/>
      </c>
      <c r="L90" s="34" t="str">
        <f t="shared" si="12"/>
        <v/>
      </c>
      <c r="M90" s="39" t="str">
        <f t="shared" si="17"/>
        <v/>
      </c>
      <c r="N90" t="str">
        <f t="shared" si="18"/>
        <v/>
      </c>
      <c r="O90" t="str">
        <f t="shared" si="19"/>
        <v/>
      </c>
      <c r="P90" s="34" t="str">
        <f t="shared" si="20"/>
        <v/>
      </c>
      <c r="Q90" t="str">
        <f>IF(E90="","",VLOOKUP(E90,#REF!,4,0))</f>
        <v/>
      </c>
      <c r="R90" t="str">
        <f t="shared" si="13"/>
        <v/>
      </c>
      <c r="S90" t="str">
        <f t="shared" si="14"/>
        <v/>
      </c>
      <c r="T90" s="58" t="str">
        <f t="shared" si="21"/>
        <v/>
      </c>
      <c r="U90" t="str">
        <f>IF(E90="","",IF(DASHBOARD!$E$7&gt;Calculations!T90,"YES","NO"))</f>
        <v/>
      </c>
      <c r="V90" t="str">
        <f>IF(E90="","",VLOOKUP(E90,Employees!A:Q,17,0))</f>
        <v/>
      </c>
    </row>
    <row r="91" spans="10:30" x14ac:dyDescent="0.25">
      <c r="J91" t="str">
        <f t="shared" si="15"/>
        <v/>
      </c>
      <c r="K91" s="38" t="str">
        <f t="shared" si="16"/>
        <v/>
      </c>
      <c r="L91" s="34" t="str">
        <f t="shared" si="12"/>
        <v/>
      </c>
      <c r="M91" s="39" t="str">
        <f t="shared" si="17"/>
        <v/>
      </c>
      <c r="N91" t="str">
        <f t="shared" si="18"/>
        <v/>
      </c>
      <c r="O91" t="str">
        <f t="shared" si="19"/>
        <v/>
      </c>
      <c r="P91" s="34" t="str">
        <f t="shared" si="20"/>
        <v/>
      </c>
      <c r="Q91" t="str">
        <f>IF(E91="","",VLOOKUP(E91,#REF!,4,0))</f>
        <v/>
      </c>
      <c r="R91" t="str">
        <f t="shared" si="13"/>
        <v/>
      </c>
      <c r="S91" t="str">
        <f t="shared" si="14"/>
        <v/>
      </c>
      <c r="T91" s="58" t="str">
        <f t="shared" si="21"/>
        <v/>
      </c>
      <c r="U91" t="str">
        <f>IF(E91="","",IF(DASHBOARD!$E$7&gt;Calculations!T91,"YES","NO"))</f>
        <v/>
      </c>
      <c r="V91" t="str">
        <f>IF(E91="","",VLOOKUP(E91,Employees!A:Q,17,0))</f>
        <v/>
      </c>
    </row>
    <row r="92" spans="10:30" x14ac:dyDescent="0.25">
      <c r="J92" t="str">
        <f t="shared" si="15"/>
        <v/>
      </c>
      <c r="K92" s="38" t="str">
        <f t="shared" si="16"/>
        <v/>
      </c>
      <c r="L92" s="34" t="str">
        <f t="shared" si="12"/>
        <v/>
      </c>
      <c r="M92" s="39" t="str">
        <f t="shared" si="17"/>
        <v/>
      </c>
      <c r="N92" t="str">
        <f t="shared" si="18"/>
        <v/>
      </c>
      <c r="O92" t="str">
        <f t="shared" si="19"/>
        <v/>
      </c>
      <c r="P92" s="34" t="str">
        <f t="shared" si="20"/>
        <v/>
      </c>
      <c r="Q92" t="str">
        <f>IF(E92="","",VLOOKUP(E92,#REF!,4,0))</f>
        <v/>
      </c>
      <c r="R92" t="str">
        <f t="shared" si="13"/>
        <v/>
      </c>
      <c r="S92" t="str">
        <f t="shared" si="14"/>
        <v/>
      </c>
      <c r="T92" s="58" t="str">
        <f t="shared" si="21"/>
        <v/>
      </c>
      <c r="U92" t="str">
        <f>IF(E92="","",IF(DASHBOARD!$E$7&gt;Calculations!T92,"YES","NO"))</f>
        <v/>
      </c>
      <c r="V92" t="str">
        <f>IF(E92="","",VLOOKUP(E92,Employees!A:Q,17,0))</f>
        <v/>
      </c>
    </row>
    <row r="93" spans="10:30" x14ac:dyDescent="0.25">
      <c r="J93" t="str">
        <f t="shared" si="15"/>
        <v/>
      </c>
      <c r="K93" s="38" t="str">
        <f t="shared" si="16"/>
        <v/>
      </c>
      <c r="L93" s="34" t="str">
        <f t="shared" si="12"/>
        <v/>
      </c>
      <c r="M93" s="39" t="str">
        <f t="shared" si="17"/>
        <v/>
      </c>
      <c r="N93" t="str">
        <f t="shared" si="18"/>
        <v/>
      </c>
      <c r="O93" t="str">
        <f t="shared" si="19"/>
        <v/>
      </c>
      <c r="P93" s="34" t="str">
        <f t="shared" si="20"/>
        <v/>
      </c>
      <c r="Q93" t="str">
        <f>IF(E93="","",VLOOKUP(E93,#REF!,4,0))</f>
        <v/>
      </c>
      <c r="R93" t="str">
        <f t="shared" si="13"/>
        <v/>
      </c>
      <c r="S93" t="str">
        <f t="shared" si="14"/>
        <v/>
      </c>
      <c r="T93" s="58" t="str">
        <f t="shared" si="21"/>
        <v/>
      </c>
      <c r="U93" t="str">
        <f>IF(E93="","",IF(DASHBOARD!$E$7&gt;Calculations!T93,"YES","NO"))</f>
        <v/>
      </c>
      <c r="V93" t="str">
        <f>IF(E93="","",VLOOKUP(E93,Employees!A:Q,17,0))</f>
        <v/>
      </c>
    </row>
    <row r="94" spans="10:30" x14ac:dyDescent="0.25">
      <c r="J94" t="str">
        <f t="shared" si="15"/>
        <v/>
      </c>
      <c r="K94" s="38" t="str">
        <f t="shared" si="16"/>
        <v/>
      </c>
      <c r="L94" s="34" t="str">
        <f t="shared" si="12"/>
        <v/>
      </c>
      <c r="M94" s="39" t="str">
        <f t="shared" si="17"/>
        <v/>
      </c>
      <c r="N94" t="str">
        <f t="shared" si="18"/>
        <v/>
      </c>
      <c r="O94" t="str">
        <f t="shared" si="19"/>
        <v/>
      </c>
      <c r="P94" s="34" t="str">
        <f t="shared" si="20"/>
        <v/>
      </c>
      <c r="Q94" t="str">
        <f>IF(E94="","",VLOOKUP(E94,#REF!,4,0))</f>
        <v/>
      </c>
      <c r="R94" t="str">
        <f t="shared" si="13"/>
        <v/>
      </c>
      <c r="S94" t="str">
        <f t="shared" si="14"/>
        <v/>
      </c>
      <c r="T94" s="58" t="str">
        <f t="shared" si="21"/>
        <v/>
      </c>
      <c r="U94" t="str">
        <f>IF(E94="","",IF(DASHBOARD!$E$7&gt;Calculations!T94,"YES","NO"))</f>
        <v/>
      </c>
      <c r="V94" t="str">
        <f>IF(E94="","",VLOOKUP(E94,Employees!A:Q,17,0))</f>
        <v/>
      </c>
    </row>
    <row r="95" spans="10:30" x14ac:dyDescent="0.25">
      <c r="J95" t="str">
        <f t="shared" si="15"/>
        <v/>
      </c>
      <c r="K95" s="38" t="str">
        <f t="shared" si="16"/>
        <v/>
      </c>
      <c r="L95" s="34" t="str">
        <f t="shared" si="12"/>
        <v/>
      </c>
      <c r="M95" s="39" t="str">
        <f t="shared" si="17"/>
        <v/>
      </c>
      <c r="N95" t="str">
        <f t="shared" si="18"/>
        <v/>
      </c>
      <c r="O95" t="str">
        <f t="shared" si="19"/>
        <v/>
      </c>
      <c r="P95" s="34" t="str">
        <f t="shared" si="20"/>
        <v/>
      </c>
      <c r="Q95" t="str">
        <f>IF(E95="","",VLOOKUP(E95,#REF!,4,0))</f>
        <v/>
      </c>
      <c r="R95" t="str">
        <f t="shared" si="13"/>
        <v/>
      </c>
      <c r="S95" t="str">
        <f t="shared" si="14"/>
        <v/>
      </c>
      <c r="T95" s="58" t="str">
        <f t="shared" si="21"/>
        <v/>
      </c>
      <c r="U95" t="str">
        <f>IF(E95="","",IF(DASHBOARD!$E$7&gt;Calculations!T95,"YES","NO"))</f>
        <v/>
      </c>
      <c r="V95" t="str">
        <f>IF(E95="","",VLOOKUP(E95,Employees!A:Q,17,0))</f>
        <v/>
      </c>
    </row>
    <row r="96" spans="10:30" x14ac:dyDescent="0.25">
      <c r="J96" t="str">
        <f t="shared" si="15"/>
        <v/>
      </c>
      <c r="K96" s="38" t="str">
        <f t="shared" si="16"/>
        <v/>
      </c>
      <c r="L96" s="34" t="str">
        <f t="shared" si="12"/>
        <v/>
      </c>
      <c r="M96" s="39" t="str">
        <f t="shared" si="17"/>
        <v/>
      </c>
      <c r="N96" t="str">
        <f t="shared" si="18"/>
        <v/>
      </c>
      <c r="O96" t="str">
        <f t="shared" si="19"/>
        <v/>
      </c>
      <c r="P96" s="34" t="str">
        <f t="shared" si="20"/>
        <v/>
      </c>
      <c r="Q96" t="str">
        <f>IF(E96="","",VLOOKUP(E96,#REF!,4,0))</f>
        <v/>
      </c>
      <c r="R96" t="str">
        <f t="shared" si="13"/>
        <v/>
      </c>
      <c r="S96" t="str">
        <f t="shared" si="14"/>
        <v/>
      </c>
      <c r="T96" s="58" t="str">
        <f t="shared" si="21"/>
        <v/>
      </c>
      <c r="U96" t="str">
        <f>IF(E96="","",IF(DASHBOARD!$E$7&gt;Calculations!T96,"YES","NO"))</f>
        <v/>
      </c>
      <c r="V96" t="str">
        <f>IF(E96="","",VLOOKUP(E96,Employees!A:Q,17,0))</f>
        <v/>
      </c>
    </row>
    <row r="97" spans="10:22" x14ac:dyDescent="0.25">
      <c r="J97" t="str">
        <f t="shared" si="15"/>
        <v/>
      </c>
      <c r="K97" s="38" t="str">
        <f t="shared" si="16"/>
        <v/>
      </c>
      <c r="L97" s="34" t="str">
        <f t="shared" si="12"/>
        <v/>
      </c>
      <c r="M97" s="39" t="str">
        <f t="shared" si="17"/>
        <v/>
      </c>
      <c r="N97" t="str">
        <f t="shared" si="18"/>
        <v/>
      </c>
      <c r="O97" t="str">
        <f t="shared" si="19"/>
        <v/>
      </c>
      <c r="P97" s="34" t="str">
        <f t="shared" si="20"/>
        <v/>
      </c>
      <c r="Q97" t="str">
        <f>IF(E97="","",VLOOKUP(E97,#REF!,4,0))</f>
        <v/>
      </c>
      <c r="R97" t="str">
        <f t="shared" si="13"/>
        <v/>
      </c>
      <c r="S97" t="str">
        <f t="shared" si="14"/>
        <v/>
      </c>
      <c r="T97" s="58" t="str">
        <f t="shared" si="21"/>
        <v/>
      </c>
      <c r="U97" t="str">
        <f>IF(E97="","",IF(DASHBOARD!$E$7&gt;Calculations!T97,"YES","NO"))</f>
        <v/>
      </c>
      <c r="V97" t="str">
        <f>IF(E97="","",VLOOKUP(E97,Employees!A:Q,17,0))</f>
        <v/>
      </c>
    </row>
    <row r="98" spans="10:22" x14ac:dyDescent="0.25">
      <c r="J98" t="str">
        <f t="shared" si="15"/>
        <v/>
      </c>
      <c r="K98" s="38" t="str">
        <f t="shared" si="16"/>
        <v/>
      </c>
      <c r="L98" s="34" t="str">
        <f t="shared" si="12"/>
        <v/>
      </c>
      <c r="M98" s="39" t="str">
        <f t="shared" si="17"/>
        <v/>
      </c>
      <c r="N98" t="str">
        <f t="shared" si="18"/>
        <v/>
      </c>
      <c r="O98" t="str">
        <f t="shared" si="19"/>
        <v/>
      </c>
      <c r="P98" s="34" t="str">
        <f t="shared" si="20"/>
        <v/>
      </c>
      <c r="Q98" t="str">
        <f>IF(E98="","",VLOOKUP(E98,#REF!,4,0))</f>
        <v/>
      </c>
      <c r="R98" t="str">
        <f t="shared" si="13"/>
        <v/>
      </c>
      <c r="S98" t="str">
        <f t="shared" si="14"/>
        <v/>
      </c>
      <c r="T98" s="58" t="str">
        <f t="shared" si="21"/>
        <v/>
      </c>
      <c r="U98" t="str">
        <f>IF(E98="","",IF(DASHBOARD!$E$7&gt;Calculations!T98,"YES","NO"))</f>
        <v/>
      </c>
      <c r="V98" t="str">
        <f>IF(E98="","",VLOOKUP(E98,Employees!A:Q,17,0))</f>
        <v/>
      </c>
    </row>
    <row r="99" spans="10:22" x14ac:dyDescent="0.25">
      <c r="J99" t="str">
        <f t="shared" si="15"/>
        <v/>
      </c>
      <c r="K99" s="38" t="str">
        <f t="shared" si="16"/>
        <v/>
      </c>
      <c r="L99" s="34" t="str">
        <f t="shared" si="12"/>
        <v/>
      </c>
      <c r="M99" s="39" t="str">
        <f t="shared" si="17"/>
        <v/>
      </c>
      <c r="N99" t="str">
        <f t="shared" si="18"/>
        <v/>
      </c>
      <c r="O99" t="str">
        <f t="shared" si="19"/>
        <v/>
      </c>
      <c r="P99" s="34" t="str">
        <f t="shared" si="20"/>
        <v/>
      </c>
      <c r="Q99" t="str">
        <f>IF(E99="","",VLOOKUP(E99,#REF!,4,0))</f>
        <v/>
      </c>
      <c r="R99" t="str">
        <f t="shared" si="13"/>
        <v/>
      </c>
      <c r="S99" t="str">
        <f t="shared" si="14"/>
        <v/>
      </c>
      <c r="T99" s="58" t="str">
        <f t="shared" si="21"/>
        <v/>
      </c>
      <c r="U99" t="str">
        <f>IF(E99="","",IF(DASHBOARD!$E$7&gt;Calculations!T99,"YES","NO"))</f>
        <v/>
      </c>
      <c r="V99" t="str">
        <f>IF(E99="","",VLOOKUP(E99,Employees!A:Q,17,0))</f>
        <v/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0D7A7-3E1C-451F-8D91-34C9408BABEC}">
  <sheetPr codeName="Sheet5"/>
  <dimension ref="A1:R366"/>
  <sheetViews>
    <sheetView workbookViewId="0">
      <selection activeCell="A5" sqref="A5"/>
    </sheetView>
  </sheetViews>
  <sheetFormatPr defaultRowHeight="15" x14ac:dyDescent="0.25"/>
  <cols>
    <col min="1" max="1" width="19.42578125" customWidth="1"/>
    <col min="2" max="2" width="26.85546875" bestFit="1" customWidth="1"/>
    <col min="3" max="3" width="32.5703125" bestFit="1" customWidth="1"/>
    <col min="4" max="4" width="11.85546875" style="17" bestFit="1" customWidth="1"/>
    <col min="5" max="5" width="8.85546875" style="17" bestFit="1" customWidth="1"/>
    <col min="6" max="6" width="25.28515625" bestFit="1" customWidth="1"/>
    <col min="7" max="7" width="20" bestFit="1" customWidth="1"/>
    <col min="8" max="8" width="18.140625" bestFit="1" customWidth="1"/>
    <col min="9" max="9" width="12.140625" style="24" bestFit="1" customWidth="1"/>
    <col min="10" max="10" width="35" bestFit="1" customWidth="1"/>
    <col min="12" max="12" width="9.140625" customWidth="1"/>
    <col min="15" max="15" width="14.5703125" customWidth="1"/>
  </cols>
  <sheetData>
    <row r="1" spans="1:18" s="4" customFormat="1" ht="44.25" customHeight="1" thickBot="1" x14ac:dyDescent="0.75">
      <c r="A1" s="5" t="s">
        <v>14</v>
      </c>
      <c r="D1" s="14"/>
      <c r="E1" s="18"/>
      <c r="F1" s="80" t="s">
        <v>29</v>
      </c>
      <c r="G1" s="80"/>
      <c r="H1" s="80" t="s">
        <v>16</v>
      </c>
      <c r="I1" s="80"/>
      <c r="J1" s="7" t="s">
        <v>17</v>
      </c>
      <c r="K1" s="8"/>
      <c r="M1" s="8"/>
      <c r="O1" s="8"/>
      <c r="R1" s="8"/>
    </row>
    <row r="2" spans="1:18" s="6" customFormat="1" ht="20.25" customHeight="1" thickBot="1" x14ac:dyDescent="0.3">
      <c r="A2" s="9" t="s">
        <v>15</v>
      </c>
      <c r="D2" s="15"/>
      <c r="E2" s="15"/>
      <c r="G2" s="23" t="s">
        <v>19</v>
      </c>
      <c r="H2" s="81" t="s">
        <v>16</v>
      </c>
      <c r="I2" s="82"/>
      <c r="M2" s="9"/>
    </row>
    <row r="3" spans="1:18" s="10" customFormat="1" ht="31.5" customHeight="1" x14ac:dyDescent="0.25">
      <c r="A3" s="11" t="s">
        <v>0</v>
      </c>
      <c r="B3" s="12" t="s">
        <v>1</v>
      </c>
      <c r="C3" s="12" t="s">
        <v>2</v>
      </c>
      <c r="D3" s="16" t="s">
        <v>3</v>
      </c>
      <c r="E3" s="16" t="s">
        <v>4</v>
      </c>
      <c r="F3" s="13" t="s">
        <v>5</v>
      </c>
      <c r="G3" s="13" t="s">
        <v>6</v>
      </c>
      <c r="H3" s="13" t="s">
        <v>7</v>
      </c>
      <c r="I3" s="26" t="s">
        <v>8</v>
      </c>
      <c r="J3" s="13" t="s">
        <v>9</v>
      </c>
    </row>
    <row r="4" spans="1:18" x14ac:dyDescent="0.25">
      <c r="A4" t="str" cm="1">
        <f t="array" ref="A4">IFERROR(_xlfn.IFS($H$2="CURRENT EMPLOYEES",_xlfn._xlws.FILTER(#REF!,#REF!&lt;&gt;"Ex- Employee"),$H$2="EX-EMPLOYEES",_xlfn._xlws.FILTER(#REF!,#REF!="Ex- Employee"),$H$2="ALL EMPLOYEES",_xlfn._xlws.FILTER(#REF!,#REF!&lt;&gt;"")),"")</f>
        <v/>
      </c>
      <c r="B4" t="str">
        <f>IF(A4&lt;&gt;"",VLOOKUP(A4,Employees!A:Q,2,0),"")</f>
        <v/>
      </c>
      <c r="C4" t="str">
        <f>IF(A4&lt;&gt;"",VLOOKUP(A4,Employees!A:Q,3,0),"")</f>
        <v/>
      </c>
      <c r="D4" s="17" t="str">
        <f>IF(IF(A4&lt;&gt;"",VLOOKUP(A4,Employees!A:Q,4,0),"")="NULL","",IF(A4&lt;&gt;"",VLOOKUP(A4,Employees!A:Q,4,0),""))</f>
        <v/>
      </c>
      <c r="E4" s="17" t="str">
        <f>IF(IF(A4&lt;&gt;"",VLOOKUP(A4,Employees!A:Q,5,0),"")="NULL","",IF(A4&lt;&gt;"",VLOOKUP(A4,Employees!A:Q,5,0),""))</f>
        <v/>
      </c>
      <c r="F4" t="str">
        <f>IF(IF(A4&lt;&gt;"",VLOOKUP(A4,Employees!A:Q,9,0),"")="NULL","",IF(A4&lt;&gt;"",VLOOKUP(A4,Employees!A:Q,9,0),""))</f>
        <v/>
      </c>
      <c r="G4" t="str">
        <f>IF(IF(A4&lt;&gt;"",VLOOKUP(A4,Employees!A:Q,10,0),"")="NULL","",IF(A4&lt;&gt;"",VLOOKUP(A4,Employees!A:Q,10,0),""))</f>
        <v/>
      </c>
      <c r="H4" t="str">
        <f>IF(IF(A4&lt;&gt;"",VLOOKUP(A4,Employees!A:Q,11,0),"")="NULL","",IF(A4&lt;&gt;"",VLOOKUP(A4,Employees!A:Q,11,0),""))</f>
        <v/>
      </c>
      <c r="I4" s="25" t="str">
        <f>IFERROR(VALUE(IF(IF(A4&lt;&gt;"",VLOOKUP(A4,Employees!A:Q,12,0),"")="NULL","",IF(A4&lt;&gt;"",VLOOKUP(A4,Employees!A:Q,12,0),""))),"")</f>
        <v/>
      </c>
      <c r="J4" t="str">
        <f>IF(IF(A4&lt;&gt;"",VLOOKUP(A4,Employees!A:Q,14,0),"")="NULL","",IF(A4&lt;&gt;"",VLOOKUP(A4,Employees!A:Q,14,0),""))</f>
        <v/>
      </c>
    </row>
    <row r="5" spans="1:18" x14ac:dyDescent="0.25">
      <c r="B5" t="str">
        <f>IF(A5&lt;&gt;"",VLOOKUP(A5,Employees!A:Q,2,0),"")</f>
        <v/>
      </c>
      <c r="C5" t="str">
        <f>IF(A5&lt;&gt;"",VLOOKUP(A5,Employees!A:Q,3,0),"")</f>
        <v/>
      </c>
      <c r="D5" s="17" t="str">
        <f>IF(IF(A5&lt;&gt;"",VLOOKUP(A5,Employees!A:Q,4,0),"")="NULL","",IF(A5&lt;&gt;"",VLOOKUP(A5,Employees!A:Q,4,0),""))</f>
        <v/>
      </c>
      <c r="E5" s="17" t="str">
        <f>IF(IF(A5&lt;&gt;"",VLOOKUP(A5,Employees!A:Q,5,0),"")="NULL","",IF(A5&lt;&gt;"",VLOOKUP(A5,Employees!A:Q,5,0),""))</f>
        <v/>
      </c>
      <c r="F5" t="str">
        <f>IF(IF(A5&lt;&gt;"",VLOOKUP(A5,Employees!A:Q,9,0),"")="NULL","",IF(A5&lt;&gt;"",VLOOKUP(A5,Employees!A:Q,9,0),""))</f>
        <v/>
      </c>
      <c r="G5" t="str">
        <f>IF(IF(A5&lt;&gt;"",VLOOKUP(A5,Employees!A:Q,10,0),"")="NULL","",IF(A5&lt;&gt;"",VLOOKUP(A5,Employees!A:Q,10,0),""))</f>
        <v/>
      </c>
      <c r="H5" t="str">
        <f>IF(IF(A5&lt;&gt;"",VLOOKUP(A5,Employees!A:Q,11,0),"")="NULL","",IF(A5&lt;&gt;"",VLOOKUP(A5,Employees!A:Q,11,0),""))</f>
        <v/>
      </c>
      <c r="I5" s="25" t="str">
        <f>IFERROR(VALUE(IF(IF(A5&lt;&gt;"",VLOOKUP(A5,Employees!A:Q,12,0),"")="NULL","",IF(A5&lt;&gt;"",VLOOKUP(A5,Employees!A:Q,12,0),""))),"")</f>
        <v/>
      </c>
      <c r="J5" t="str">
        <f>IF(IF(A5&lt;&gt;"",VLOOKUP(A5,Employees!A:Q,14,0),"")="NULL","",IF(A5&lt;&gt;"",VLOOKUP(A5,Employees!A:Q,14,0),""))</f>
        <v/>
      </c>
    </row>
    <row r="6" spans="1:18" x14ac:dyDescent="0.25">
      <c r="B6" t="str">
        <f>IF(A6&lt;&gt;"",VLOOKUP(A6,Employees!A:Q,2,0),"")</f>
        <v/>
      </c>
      <c r="C6" t="str">
        <f>IF(A6&lt;&gt;"",VLOOKUP(A6,Employees!A:Q,3,0),"")</f>
        <v/>
      </c>
      <c r="D6" s="17" t="str">
        <f>IF(IF(A6&lt;&gt;"",VLOOKUP(A6,Employees!A:Q,4,0),"")="NULL","",IF(A6&lt;&gt;"",VLOOKUP(A6,Employees!A:Q,4,0),""))</f>
        <v/>
      </c>
      <c r="E6" s="17" t="str">
        <f>IF(IF(A6&lt;&gt;"",VLOOKUP(A6,Employees!A:Q,5,0),"")="NULL","",IF(A6&lt;&gt;"",VLOOKUP(A6,Employees!A:Q,5,0),""))</f>
        <v/>
      </c>
      <c r="F6" t="str">
        <f>IF(IF(A6&lt;&gt;"",VLOOKUP(A6,Employees!A:Q,9,0),"")="NULL","",IF(A6&lt;&gt;"",VLOOKUP(A6,Employees!A:Q,9,0),""))</f>
        <v/>
      </c>
      <c r="G6" t="str">
        <f>IF(IF(A6&lt;&gt;"",VLOOKUP(A6,Employees!A:Q,10,0),"")="NULL","",IF(A6&lt;&gt;"",VLOOKUP(A6,Employees!A:Q,10,0),""))</f>
        <v/>
      </c>
      <c r="H6" t="str">
        <f>IF(IF(A6&lt;&gt;"",VLOOKUP(A6,Employees!A:Q,11,0),"")="NULL","",IF(A6&lt;&gt;"",VLOOKUP(A6,Employees!A:Q,11,0),""))</f>
        <v/>
      </c>
      <c r="I6" s="25" t="str">
        <f>IFERROR(VALUE(IF(IF(A6&lt;&gt;"",VLOOKUP(A6,Employees!A:Q,12,0),"")="NULL","",IF(A6&lt;&gt;"",VLOOKUP(A6,Employees!A:Q,12,0),""))),"")</f>
        <v/>
      </c>
      <c r="J6" t="str">
        <f>IF(IF(A6&lt;&gt;"",VLOOKUP(A6,Employees!A:Q,14,0),"")="NULL","",IF(A6&lt;&gt;"",VLOOKUP(A6,Employees!A:Q,14,0),""))</f>
        <v/>
      </c>
    </row>
    <row r="7" spans="1:18" x14ac:dyDescent="0.25">
      <c r="B7" t="str">
        <f>IF(A7&lt;&gt;"",VLOOKUP(A7,Employees!A:Q,2,0),"")</f>
        <v/>
      </c>
      <c r="C7" t="str">
        <f>IF(A7&lt;&gt;"",VLOOKUP(A7,Employees!A:Q,3,0),"")</f>
        <v/>
      </c>
      <c r="D7" s="17" t="str">
        <f>IF(IF(A7&lt;&gt;"",VLOOKUP(A7,Employees!A:Q,4,0),"")="NULL","",IF(A7&lt;&gt;"",VLOOKUP(A7,Employees!A:Q,4,0),""))</f>
        <v/>
      </c>
      <c r="E7" s="17" t="str">
        <f>IF(IF(A7&lt;&gt;"",VLOOKUP(A7,Employees!A:Q,5,0),"")="NULL","",IF(A7&lt;&gt;"",VLOOKUP(A7,Employees!A:Q,5,0),""))</f>
        <v/>
      </c>
      <c r="F7" t="str">
        <f>IF(IF(A7&lt;&gt;"",VLOOKUP(A7,Employees!A:Q,9,0),"")="NULL","",IF(A7&lt;&gt;"",VLOOKUP(A7,Employees!A:Q,9,0),""))</f>
        <v/>
      </c>
      <c r="G7" t="str">
        <f>IF(IF(A7&lt;&gt;"",VLOOKUP(A7,Employees!A:Q,10,0),"")="NULL","",IF(A7&lt;&gt;"",VLOOKUP(A7,Employees!A:Q,10,0),""))</f>
        <v/>
      </c>
      <c r="H7" t="str">
        <f>IF(IF(A7&lt;&gt;"",VLOOKUP(A7,Employees!A:Q,11,0),"")="NULL","",IF(A7&lt;&gt;"",VLOOKUP(A7,Employees!A:Q,11,0),""))</f>
        <v/>
      </c>
      <c r="I7" s="25" t="str">
        <f>IFERROR(VALUE(IF(IF(A7&lt;&gt;"",VLOOKUP(A7,Employees!A:Q,12,0),"")="NULL","",IF(A7&lt;&gt;"",VLOOKUP(A7,Employees!A:Q,12,0),""))),"")</f>
        <v/>
      </c>
      <c r="J7" t="str">
        <f>IF(IF(A7&lt;&gt;"",VLOOKUP(A7,Employees!A:Q,14,0),"")="NULL","",IF(A7&lt;&gt;"",VLOOKUP(A7,Employees!A:Q,14,0),""))</f>
        <v/>
      </c>
    </row>
    <row r="8" spans="1:18" x14ac:dyDescent="0.25">
      <c r="B8" t="str">
        <f>IF(A8&lt;&gt;"",VLOOKUP(A8,Employees!A:Q,2,0),"")</f>
        <v/>
      </c>
      <c r="C8" t="str">
        <f>IF(A8&lt;&gt;"",VLOOKUP(A8,Employees!A:Q,3,0),"")</f>
        <v/>
      </c>
      <c r="D8" s="17" t="str">
        <f>IF(IF(A8&lt;&gt;"",VLOOKUP(A8,Employees!A:Q,4,0),"")="NULL","",IF(A8&lt;&gt;"",VLOOKUP(A8,Employees!A:Q,4,0),""))</f>
        <v/>
      </c>
      <c r="E8" s="17" t="str">
        <f>IF(IF(A8&lt;&gt;"",VLOOKUP(A8,Employees!A:Q,5,0),"")="NULL","",IF(A8&lt;&gt;"",VLOOKUP(A8,Employees!A:Q,5,0),""))</f>
        <v/>
      </c>
      <c r="F8" t="str">
        <f>IF(IF(A8&lt;&gt;"",VLOOKUP(A8,Employees!A:Q,9,0),"")="NULL","",IF(A8&lt;&gt;"",VLOOKUP(A8,Employees!A:Q,9,0),""))</f>
        <v/>
      </c>
      <c r="G8" t="str">
        <f>IF(IF(A8&lt;&gt;"",VLOOKUP(A8,Employees!A:Q,10,0),"")="NULL","",IF(A8&lt;&gt;"",VLOOKUP(A8,Employees!A:Q,10,0),""))</f>
        <v/>
      </c>
      <c r="H8" t="str">
        <f>IF(IF(A8&lt;&gt;"",VLOOKUP(A8,Employees!A:Q,11,0),"")="NULL","",IF(A8&lt;&gt;"",VLOOKUP(A8,Employees!A:Q,11,0),""))</f>
        <v/>
      </c>
      <c r="I8" s="25" t="str">
        <f>IFERROR(VALUE(IF(IF(A8&lt;&gt;"",VLOOKUP(A8,Employees!A:Q,12,0),"")="NULL","",IF(A8&lt;&gt;"",VLOOKUP(A8,Employees!A:Q,12,0),""))),"")</f>
        <v/>
      </c>
      <c r="J8" t="str">
        <f>IF(IF(A8&lt;&gt;"",VLOOKUP(A8,Employees!A:Q,14,0),"")="NULL","",IF(A8&lt;&gt;"",VLOOKUP(A8,Employees!A:Q,14,0),""))</f>
        <v/>
      </c>
    </row>
    <row r="9" spans="1:18" x14ac:dyDescent="0.25">
      <c r="B9" t="str">
        <f>IF(A9&lt;&gt;"",VLOOKUP(A9,Employees!A:Q,2,0),"")</f>
        <v/>
      </c>
      <c r="C9" t="str">
        <f>IF(A9&lt;&gt;"",VLOOKUP(A9,Employees!A:Q,3,0),"")</f>
        <v/>
      </c>
      <c r="D9" s="17" t="str">
        <f>IF(IF(A9&lt;&gt;"",VLOOKUP(A9,Employees!A:Q,4,0),"")="NULL","",IF(A9&lt;&gt;"",VLOOKUP(A9,Employees!A:Q,4,0),""))</f>
        <v/>
      </c>
      <c r="E9" s="17" t="str">
        <f>IF(IF(A9&lt;&gt;"",VLOOKUP(A9,Employees!A:Q,5,0),"")="NULL","",IF(A9&lt;&gt;"",VLOOKUP(A9,Employees!A:Q,5,0),""))</f>
        <v/>
      </c>
      <c r="F9" t="str">
        <f>IF(IF(A9&lt;&gt;"",VLOOKUP(A9,Employees!A:Q,9,0),"")="NULL","",IF(A9&lt;&gt;"",VLOOKUP(A9,Employees!A:Q,9,0),""))</f>
        <v/>
      </c>
      <c r="G9" t="str">
        <f>IF(IF(A9&lt;&gt;"",VLOOKUP(A9,Employees!A:Q,10,0),"")="NULL","",IF(A9&lt;&gt;"",VLOOKUP(A9,Employees!A:Q,10,0),""))</f>
        <v/>
      </c>
      <c r="H9" t="str">
        <f>IF(IF(A9&lt;&gt;"",VLOOKUP(A9,Employees!A:Q,11,0),"")="NULL","",IF(A9&lt;&gt;"",VLOOKUP(A9,Employees!A:Q,11,0),""))</f>
        <v/>
      </c>
      <c r="I9" s="25" t="str">
        <f>IFERROR(VALUE(IF(IF(A9&lt;&gt;"",VLOOKUP(A9,Employees!A:Q,12,0),"")="NULL","",IF(A9&lt;&gt;"",VLOOKUP(A9,Employees!A:Q,12,0),""))),"")</f>
        <v/>
      </c>
      <c r="J9" t="str">
        <f>IF(IF(A9&lt;&gt;"",VLOOKUP(A9,Employees!A:Q,14,0),"")="NULL","",IF(A9&lt;&gt;"",VLOOKUP(A9,Employees!A:Q,14,0),""))</f>
        <v/>
      </c>
    </row>
    <row r="10" spans="1:18" x14ac:dyDescent="0.25">
      <c r="B10" t="str">
        <f>IF(A10&lt;&gt;"",VLOOKUP(A10,Employees!A:Q,2,0),"")</f>
        <v/>
      </c>
      <c r="C10" t="str">
        <f>IF(A10&lt;&gt;"",VLOOKUP(A10,Employees!A:Q,3,0),"")</f>
        <v/>
      </c>
      <c r="D10" s="17" t="str">
        <f>IF(IF(A10&lt;&gt;"",VLOOKUP(A10,Employees!A:Q,4,0),"")="NULL","",IF(A10&lt;&gt;"",VLOOKUP(A10,Employees!A:Q,4,0),""))</f>
        <v/>
      </c>
      <c r="E10" s="17" t="str">
        <f>IF(IF(A10&lt;&gt;"",VLOOKUP(A10,Employees!A:Q,5,0),"")="NULL","",IF(A10&lt;&gt;"",VLOOKUP(A10,Employees!A:Q,5,0),""))</f>
        <v/>
      </c>
      <c r="F10" t="str">
        <f>IF(IF(A10&lt;&gt;"",VLOOKUP(A10,Employees!A:Q,9,0),"")="NULL","",IF(A10&lt;&gt;"",VLOOKUP(A10,Employees!A:Q,9,0),""))</f>
        <v/>
      </c>
      <c r="G10" t="str">
        <f>IF(IF(A10&lt;&gt;"",VLOOKUP(A10,Employees!A:Q,10,0),"")="NULL","",IF(A10&lt;&gt;"",VLOOKUP(A10,Employees!A:Q,10,0),""))</f>
        <v/>
      </c>
      <c r="H10" t="str">
        <f>IF(IF(A10&lt;&gt;"",VLOOKUP(A10,Employees!A:Q,11,0),"")="NULL","",IF(A10&lt;&gt;"",VLOOKUP(A10,Employees!A:Q,11,0),""))</f>
        <v/>
      </c>
      <c r="I10" s="25" t="str">
        <f>IFERROR(VALUE(IF(IF(A10&lt;&gt;"",VLOOKUP(A10,Employees!A:Q,12,0),"")="NULL","",IF(A10&lt;&gt;"",VLOOKUP(A10,Employees!A:Q,12,0),""))),"")</f>
        <v/>
      </c>
      <c r="J10" t="str">
        <f>IF(IF(A10&lt;&gt;"",VLOOKUP(A10,Employees!A:Q,14,0),"")="NULL","",IF(A10&lt;&gt;"",VLOOKUP(A10,Employees!A:Q,14,0),""))</f>
        <v/>
      </c>
    </row>
    <row r="11" spans="1:18" x14ac:dyDescent="0.25">
      <c r="B11" t="str">
        <f>IF(A11&lt;&gt;"",VLOOKUP(A11,Employees!A:Q,2,0),"")</f>
        <v/>
      </c>
      <c r="C11" t="str">
        <f>IF(A11&lt;&gt;"",VLOOKUP(A11,Employees!A:Q,3,0),"")</f>
        <v/>
      </c>
      <c r="D11" s="17" t="str">
        <f>IF(IF(A11&lt;&gt;"",VLOOKUP(A11,Employees!A:Q,4,0),"")="NULL","",IF(A11&lt;&gt;"",VLOOKUP(A11,Employees!A:Q,4,0),""))</f>
        <v/>
      </c>
      <c r="E11" s="17" t="str">
        <f>IF(IF(A11&lt;&gt;"",VLOOKUP(A11,Employees!A:Q,5,0),"")="NULL","",IF(A11&lt;&gt;"",VLOOKUP(A11,Employees!A:Q,5,0),""))</f>
        <v/>
      </c>
      <c r="F11" t="str">
        <f>IF(IF(A11&lt;&gt;"",VLOOKUP(A11,Employees!A:Q,9,0),"")="NULL","",IF(A11&lt;&gt;"",VLOOKUP(A11,Employees!A:Q,9,0),""))</f>
        <v/>
      </c>
      <c r="G11" t="str">
        <f>IF(IF(A11&lt;&gt;"",VLOOKUP(A11,Employees!A:Q,10,0),"")="NULL","",IF(A11&lt;&gt;"",VLOOKUP(A11,Employees!A:Q,10,0),""))</f>
        <v/>
      </c>
      <c r="H11" t="str">
        <f>IF(IF(A11&lt;&gt;"",VLOOKUP(A11,Employees!A:Q,11,0),"")="NULL","",IF(A11&lt;&gt;"",VLOOKUP(A11,Employees!A:Q,11,0),""))</f>
        <v/>
      </c>
      <c r="I11" s="25" t="str">
        <f>IFERROR(VALUE(IF(IF(A11&lt;&gt;"",VLOOKUP(A11,Employees!A:Q,12,0),"")="NULL","",IF(A11&lt;&gt;"",VLOOKUP(A11,Employees!A:Q,12,0),""))),"")</f>
        <v/>
      </c>
      <c r="J11" t="str">
        <f>IF(IF(A11&lt;&gt;"",VLOOKUP(A11,Employees!A:Q,14,0),"")="NULL","",IF(A11&lt;&gt;"",VLOOKUP(A11,Employees!A:Q,14,0),""))</f>
        <v/>
      </c>
    </row>
    <row r="12" spans="1:18" x14ac:dyDescent="0.25">
      <c r="B12" t="str">
        <f>IF(A12&lt;&gt;"",VLOOKUP(A12,Employees!A:Q,2,0),"")</f>
        <v/>
      </c>
      <c r="C12" t="str">
        <f>IF(A12&lt;&gt;"",VLOOKUP(A12,Employees!A:Q,3,0),"")</f>
        <v/>
      </c>
      <c r="D12" s="17" t="str">
        <f>IF(IF(A12&lt;&gt;"",VLOOKUP(A12,Employees!A:Q,4,0),"")="NULL","",IF(A12&lt;&gt;"",VLOOKUP(A12,Employees!A:Q,4,0),""))</f>
        <v/>
      </c>
      <c r="E12" s="17" t="str">
        <f>IF(IF(A12&lt;&gt;"",VLOOKUP(A12,Employees!A:Q,5,0),"")="NULL","",IF(A12&lt;&gt;"",VLOOKUP(A12,Employees!A:Q,5,0),""))</f>
        <v/>
      </c>
      <c r="F12" t="str">
        <f>IF(IF(A12&lt;&gt;"",VLOOKUP(A12,Employees!A:Q,9,0),"")="NULL","",IF(A12&lt;&gt;"",VLOOKUP(A12,Employees!A:Q,9,0),""))</f>
        <v/>
      </c>
      <c r="G12" t="str">
        <f>IF(IF(A12&lt;&gt;"",VLOOKUP(A12,Employees!A:Q,10,0),"")="NULL","",IF(A12&lt;&gt;"",VLOOKUP(A12,Employees!A:Q,10,0),""))</f>
        <v/>
      </c>
      <c r="H12" t="str">
        <f>IF(IF(A12&lt;&gt;"",VLOOKUP(A12,Employees!A:Q,11,0),"")="NULL","",IF(A12&lt;&gt;"",VLOOKUP(A12,Employees!A:Q,11,0),""))</f>
        <v/>
      </c>
      <c r="I12" s="25" t="str">
        <f>IFERROR(VALUE(IF(IF(A12&lt;&gt;"",VLOOKUP(A12,Employees!A:Q,12,0),"")="NULL","",IF(A12&lt;&gt;"",VLOOKUP(A12,Employees!A:Q,12,0),""))),"")</f>
        <v/>
      </c>
      <c r="J12" t="str">
        <f>IF(IF(A12&lt;&gt;"",VLOOKUP(A12,Employees!A:Q,14,0),"")="NULL","",IF(A12&lt;&gt;"",VLOOKUP(A12,Employees!A:Q,14,0),""))</f>
        <v/>
      </c>
    </row>
    <row r="13" spans="1:18" x14ac:dyDescent="0.25">
      <c r="B13" t="str">
        <f>IF(A13&lt;&gt;"",VLOOKUP(A13,Employees!A:Q,2,0),"")</f>
        <v/>
      </c>
      <c r="C13" t="str">
        <f>IF(A13&lt;&gt;"",VLOOKUP(A13,Employees!A:Q,3,0),"")</f>
        <v/>
      </c>
      <c r="D13" s="17" t="str">
        <f>IF(IF(A13&lt;&gt;"",VLOOKUP(A13,Employees!A:Q,4,0),"")="NULL","",IF(A13&lt;&gt;"",VLOOKUP(A13,Employees!A:Q,4,0),""))</f>
        <v/>
      </c>
      <c r="E13" s="17" t="str">
        <f>IF(IF(A13&lt;&gt;"",VLOOKUP(A13,Employees!A:Q,5,0),"")="NULL","",IF(A13&lt;&gt;"",VLOOKUP(A13,Employees!A:Q,5,0),""))</f>
        <v/>
      </c>
      <c r="F13" t="str">
        <f>IF(IF(A13&lt;&gt;"",VLOOKUP(A13,Employees!A:Q,9,0),"")="NULL","",IF(A13&lt;&gt;"",VLOOKUP(A13,Employees!A:Q,9,0),""))</f>
        <v/>
      </c>
      <c r="G13" t="str">
        <f>IF(IF(A13&lt;&gt;"",VLOOKUP(A13,Employees!A:Q,10,0),"")="NULL","",IF(A13&lt;&gt;"",VLOOKUP(A13,Employees!A:Q,10,0),""))</f>
        <v/>
      </c>
      <c r="H13" t="str">
        <f>IF(IF(A13&lt;&gt;"",VLOOKUP(A13,Employees!A:Q,11,0),"")="NULL","",IF(A13&lt;&gt;"",VLOOKUP(A13,Employees!A:Q,11,0),""))</f>
        <v/>
      </c>
      <c r="I13" s="25" t="str">
        <f>IFERROR(VALUE(IF(IF(A13&lt;&gt;"",VLOOKUP(A13,Employees!A:Q,12,0),"")="NULL","",IF(A13&lt;&gt;"",VLOOKUP(A13,Employees!A:Q,12,0),""))),"")</f>
        <v/>
      </c>
      <c r="J13" t="str">
        <f>IF(IF(A13&lt;&gt;"",VLOOKUP(A13,Employees!A:Q,14,0),"")="NULL","",IF(A13&lt;&gt;"",VLOOKUP(A13,Employees!A:Q,14,0),""))</f>
        <v/>
      </c>
    </row>
    <row r="14" spans="1:18" x14ac:dyDescent="0.25">
      <c r="B14" t="str">
        <f>IF(A14&lt;&gt;"",VLOOKUP(A14,Employees!A:Q,2,0),"")</f>
        <v/>
      </c>
      <c r="C14" t="str">
        <f>IF(A14&lt;&gt;"",VLOOKUP(A14,Employees!A:Q,3,0),"")</f>
        <v/>
      </c>
      <c r="D14" s="17" t="str">
        <f>IF(IF(A14&lt;&gt;"",VLOOKUP(A14,Employees!A:Q,4,0),"")="NULL","",IF(A14&lt;&gt;"",VLOOKUP(A14,Employees!A:Q,4,0),""))</f>
        <v/>
      </c>
      <c r="E14" s="17" t="str">
        <f>IF(IF(A14&lt;&gt;"",VLOOKUP(A14,Employees!A:Q,5,0),"")="NULL","",IF(A14&lt;&gt;"",VLOOKUP(A14,Employees!A:Q,5,0),""))</f>
        <v/>
      </c>
      <c r="F14" t="str">
        <f>IF(IF(A14&lt;&gt;"",VLOOKUP(A14,Employees!A:Q,9,0),"")="NULL","",IF(A14&lt;&gt;"",VLOOKUP(A14,Employees!A:Q,9,0),""))</f>
        <v/>
      </c>
      <c r="G14" t="str">
        <f>IF(IF(A14&lt;&gt;"",VLOOKUP(A14,Employees!A:Q,10,0),"")="NULL","",IF(A14&lt;&gt;"",VLOOKUP(A14,Employees!A:Q,10,0),""))</f>
        <v/>
      </c>
      <c r="H14" t="str">
        <f>IF(IF(A14&lt;&gt;"",VLOOKUP(A14,Employees!A:Q,11,0),"")="NULL","",IF(A14&lt;&gt;"",VLOOKUP(A14,Employees!A:Q,11,0),""))</f>
        <v/>
      </c>
      <c r="I14" s="25" t="str">
        <f>IFERROR(VALUE(IF(IF(A14&lt;&gt;"",VLOOKUP(A14,Employees!A:Q,12,0),"")="NULL","",IF(A14&lt;&gt;"",VLOOKUP(A14,Employees!A:Q,12,0),""))),"")</f>
        <v/>
      </c>
      <c r="J14" t="str">
        <f>IF(IF(A14&lt;&gt;"",VLOOKUP(A14,Employees!A:Q,14,0),"")="NULL","",IF(A14&lt;&gt;"",VLOOKUP(A14,Employees!A:Q,14,0),""))</f>
        <v/>
      </c>
    </row>
    <row r="15" spans="1:18" x14ac:dyDescent="0.25">
      <c r="B15" t="str">
        <f>IF(A15&lt;&gt;"",VLOOKUP(A15,Employees!A:Q,2,0),"")</f>
        <v/>
      </c>
      <c r="C15" t="str">
        <f>IF(A15&lt;&gt;"",VLOOKUP(A15,Employees!A:Q,3,0),"")</f>
        <v/>
      </c>
      <c r="D15" s="17" t="str">
        <f>IF(IF(A15&lt;&gt;"",VLOOKUP(A15,Employees!A:Q,4,0),"")="NULL","",IF(A15&lt;&gt;"",VLOOKUP(A15,Employees!A:Q,4,0),""))</f>
        <v/>
      </c>
      <c r="E15" s="17" t="str">
        <f>IF(IF(A15&lt;&gt;"",VLOOKUP(A15,Employees!A:Q,5,0),"")="NULL","",IF(A15&lt;&gt;"",VLOOKUP(A15,Employees!A:Q,5,0),""))</f>
        <v/>
      </c>
      <c r="F15" t="str">
        <f>IF(IF(A15&lt;&gt;"",VLOOKUP(A15,Employees!A:Q,9,0),"")="NULL","",IF(A15&lt;&gt;"",VLOOKUP(A15,Employees!A:Q,9,0),""))</f>
        <v/>
      </c>
      <c r="G15" t="str">
        <f>IF(IF(A15&lt;&gt;"",VLOOKUP(A15,Employees!A:Q,10,0),"")="NULL","",IF(A15&lt;&gt;"",VLOOKUP(A15,Employees!A:Q,10,0),""))</f>
        <v/>
      </c>
      <c r="H15" t="str">
        <f>IF(IF(A15&lt;&gt;"",VLOOKUP(A15,Employees!A:Q,11,0),"")="NULL","",IF(A15&lt;&gt;"",VLOOKUP(A15,Employees!A:Q,11,0),""))</f>
        <v/>
      </c>
      <c r="I15" s="25" t="str">
        <f>IFERROR(VALUE(IF(IF(A15&lt;&gt;"",VLOOKUP(A15,Employees!A:Q,12,0),"")="NULL","",IF(A15&lt;&gt;"",VLOOKUP(A15,Employees!A:Q,12,0),""))),"")</f>
        <v/>
      </c>
      <c r="J15" t="str">
        <f>IF(IF(A15&lt;&gt;"",VLOOKUP(A15,Employees!A:Q,14,0),"")="NULL","",IF(A15&lt;&gt;"",VLOOKUP(A15,Employees!A:Q,14,0),""))</f>
        <v/>
      </c>
    </row>
    <row r="16" spans="1:18" x14ac:dyDescent="0.25">
      <c r="B16" t="str">
        <f>IF(A16&lt;&gt;"",VLOOKUP(A16,Employees!A:Q,2,0),"")</f>
        <v/>
      </c>
      <c r="C16" t="str">
        <f>IF(A16&lt;&gt;"",VLOOKUP(A16,Employees!A:Q,3,0),"")</f>
        <v/>
      </c>
      <c r="D16" s="17" t="str">
        <f>IF(IF(A16&lt;&gt;"",VLOOKUP(A16,Employees!A:Q,4,0),"")="NULL","",IF(A16&lt;&gt;"",VLOOKUP(A16,Employees!A:Q,4,0),""))</f>
        <v/>
      </c>
      <c r="E16" s="17" t="str">
        <f>IF(IF(A16&lt;&gt;"",VLOOKUP(A16,Employees!A:Q,5,0),"")="NULL","",IF(A16&lt;&gt;"",VLOOKUP(A16,Employees!A:Q,5,0),""))</f>
        <v/>
      </c>
      <c r="F16" t="str">
        <f>IF(IF(A16&lt;&gt;"",VLOOKUP(A16,Employees!A:Q,9,0),"")="NULL","",IF(A16&lt;&gt;"",VLOOKUP(A16,Employees!A:Q,9,0),""))</f>
        <v/>
      </c>
      <c r="G16" t="str">
        <f>IF(IF(A16&lt;&gt;"",VLOOKUP(A16,Employees!A:Q,10,0),"")="NULL","",IF(A16&lt;&gt;"",VLOOKUP(A16,Employees!A:Q,10,0),""))</f>
        <v/>
      </c>
      <c r="H16" t="str">
        <f>IF(IF(A16&lt;&gt;"",VLOOKUP(A16,Employees!A:Q,11,0),"")="NULL","",IF(A16&lt;&gt;"",VLOOKUP(A16,Employees!A:Q,11,0),""))</f>
        <v/>
      </c>
      <c r="I16" s="25" t="str">
        <f>IFERROR(VALUE(IF(IF(A16&lt;&gt;"",VLOOKUP(A16,Employees!A:Q,12,0),"")="NULL","",IF(A16&lt;&gt;"",VLOOKUP(A16,Employees!A:Q,12,0),""))),"")</f>
        <v/>
      </c>
      <c r="J16" t="str">
        <f>IF(IF(A16&lt;&gt;"",VLOOKUP(A16,Employees!A:Q,14,0),"")="NULL","",IF(A16&lt;&gt;"",VLOOKUP(A16,Employees!A:Q,14,0),""))</f>
        <v/>
      </c>
    </row>
    <row r="17" spans="2:10" x14ac:dyDescent="0.25">
      <c r="B17" t="str">
        <f>IF(A17&lt;&gt;"",VLOOKUP(A17,Employees!A:Q,2,0),"")</f>
        <v/>
      </c>
      <c r="C17" t="str">
        <f>IF(A17&lt;&gt;"",VLOOKUP(A17,Employees!A:Q,3,0),"")</f>
        <v/>
      </c>
      <c r="D17" s="17" t="str">
        <f>IF(IF(A17&lt;&gt;"",VLOOKUP(A17,Employees!A:Q,4,0),"")="NULL","",IF(A17&lt;&gt;"",VLOOKUP(A17,Employees!A:Q,4,0),""))</f>
        <v/>
      </c>
      <c r="E17" s="17" t="str">
        <f>IF(IF(A17&lt;&gt;"",VLOOKUP(A17,Employees!A:Q,5,0),"")="NULL","",IF(A17&lt;&gt;"",VLOOKUP(A17,Employees!A:Q,5,0),""))</f>
        <v/>
      </c>
      <c r="F17" t="str">
        <f>IF(IF(A17&lt;&gt;"",VLOOKUP(A17,Employees!A:Q,9,0),"")="NULL","",IF(A17&lt;&gt;"",VLOOKUP(A17,Employees!A:Q,9,0),""))</f>
        <v/>
      </c>
      <c r="G17" t="str">
        <f>IF(IF(A17&lt;&gt;"",VLOOKUP(A17,Employees!A:Q,10,0),"")="NULL","",IF(A17&lt;&gt;"",VLOOKUP(A17,Employees!A:Q,10,0),""))</f>
        <v/>
      </c>
      <c r="H17" t="str">
        <f>IF(IF(A17&lt;&gt;"",VLOOKUP(A17,Employees!A:Q,11,0),"")="NULL","",IF(A17&lt;&gt;"",VLOOKUP(A17,Employees!A:Q,11,0),""))</f>
        <v/>
      </c>
      <c r="I17" s="25" t="str">
        <f>IFERROR(VALUE(IF(IF(A17&lt;&gt;"",VLOOKUP(A17,Employees!A:Q,12,0),"")="NULL","",IF(A17&lt;&gt;"",VLOOKUP(A17,Employees!A:Q,12,0),""))),"")</f>
        <v/>
      </c>
      <c r="J17" t="str">
        <f>IF(IF(A17&lt;&gt;"",VLOOKUP(A17,Employees!A:Q,14,0),"")="NULL","",IF(A17&lt;&gt;"",VLOOKUP(A17,Employees!A:Q,14,0),""))</f>
        <v/>
      </c>
    </row>
    <row r="18" spans="2:10" x14ac:dyDescent="0.25">
      <c r="B18" t="str">
        <f>IF(A18&lt;&gt;"",VLOOKUP(A18,Employees!A:Q,2,0),"")</f>
        <v/>
      </c>
      <c r="C18" t="str">
        <f>IF(A18&lt;&gt;"",VLOOKUP(A18,Employees!A:Q,3,0),"")</f>
        <v/>
      </c>
      <c r="D18" s="17" t="str">
        <f>IF(IF(A18&lt;&gt;"",VLOOKUP(A18,Employees!A:Q,4,0),"")="NULL","",IF(A18&lt;&gt;"",VLOOKUP(A18,Employees!A:Q,4,0),""))</f>
        <v/>
      </c>
      <c r="E18" s="17" t="str">
        <f>IF(IF(A18&lt;&gt;"",VLOOKUP(A18,Employees!A:Q,5,0),"")="NULL","",IF(A18&lt;&gt;"",VLOOKUP(A18,Employees!A:Q,5,0),""))</f>
        <v/>
      </c>
      <c r="F18" t="str">
        <f>IF(IF(A18&lt;&gt;"",VLOOKUP(A18,Employees!A:Q,9,0),"")="NULL","",IF(A18&lt;&gt;"",VLOOKUP(A18,Employees!A:Q,9,0),""))</f>
        <v/>
      </c>
      <c r="G18" t="str">
        <f>IF(IF(A18&lt;&gt;"",VLOOKUP(A18,Employees!A:Q,10,0),"")="NULL","",IF(A18&lt;&gt;"",VLOOKUP(A18,Employees!A:Q,10,0),""))</f>
        <v/>
      </c>
      <c r="H18" t="str">
        <f>IF(IF(A18&lt;&gt;"",VLOOKUP(A18,Employees!A:Q,11,0),"")="NULL","",IF(A18&lt;&gt;"",VLOOKUP(A18,Employees!A:Q,11,0),""))</f>
        <v/>
      </c>
      <c r="I18" s="25" t="str">
        <f>IFERROR(VALUE(IF(IF(A18&lt;&gt;"",VLOOKUP(A18,Employees!A:Q,12,0),"")="NULL","",IF(A18&lt;&gt;"",VLOOKUP(A18,Employees!A:Q,12,0),""))),"")</f>
        <v/>
      </c>
      <c r="J18" t="str">
        <f>IF(IF(A18&lt;&gt;"",VLOOKUP(A18,Employees!A:Q,14,0),"")="NULL","",IF(A18&lt;&gt;"",VLOOKUP(A18,Employees!A:Q,14,0),""))</f>
        <v/>
      </c>
    </row>
    <row r="19" spans="2:10" x14ac:dyDescent="0.25">
      <c r="B19" t="str">
        <f>IF(A19&lt;&gt;"",VLOOKUP(A19,Employees!A:Q,2,0),"")</f>
        <v/>
      </c>
      <c r="C19" t="str">
        <f>IF(A19&lt;&gt;"",VLOOKUP(A19,Employees!A:Q,3,0),"")</f>
        <v/>
      </c>
      <c r="D19" s="17" t="str">
        <f>IF(IF(A19&lt;&gt;"",VLOOKUP(A19,Employees!A:Q,4,0),"")="NULL","",IF(A19&lt;&gt;"",VLOOKUP(A19,Employees!A:Q,4,0),""))</f>
        <v/>
      </c>
      <c r="E19" s="17" t="str">
        <f>IF(IF(A19&lt;&gt;"",VLOOKUP(A19,Employees!A:Q,5,0),"")="NULL","",IF(A19&lt;&gt;"",VLOOKUP(A19,Employees!A:Q,5,0),""))</f>
        <v/>
      </c>
      <c r="F19" t="str">
        <f>IF(IF(A19&lt;&gt;"",VLOOKUP(A19,Employees!A:Q,9,0),"")="NULL","",IF(A19&lt;&gt;"",VLOOKUP(A19,Employees!A:Q,9,0),""))</f>
        <v/>
      </c>
      <c r="G19" t="str">
        <f>IF(IF(A19&lt;&gt;"",VLOOKUP(A19,Employees!A:Q,10,0),"")="NULL","",IF(A19&lt;&gt;"",VLOOKUP(A19,Employees!A:Q,10,0),""))</f>
        <v/>
      </c>
      <c r="H19" t="str">
        <f>IF(IF(A19&lt;&gt;"",VLOOKUP(A19,Employees!A:Q,11,0),"")="NULL","",IF(A19&lt;&gt;"",VLOOKUP(A19,Employees!A:Q,11,0),""))</f>
        <v/>
      </c>
      <c r="I19" s="25" t="str">
        <f>IFERROR(VALUE(IF(IF(A19&lt;&gt;"",VLOOKUP(A19,Employees!A:Q,12,0),"")="NULL","",IF(A19&lt;&gt;"",VLOOKUP(A19,Employees!A:Q,12,0),""))),"")</f>
        <v/>
      </c>
      <c r="J19" t="str">
        <f>IF(IF(A19&lt;&gt;"",VLOOKUP(A19,Employees!A:Q,14,0),"")="NULL","",IF(A19&lt;&gt;"",VLOOKUP(A19,Employees!A:Q,14,0),""))</f>
        <v/>
      </c>
    </row>
    <row r="20" spans="2:10" x14ac:dyDescent="0.25">
      <c r="B20" t="str">
        <f>IF(A20&lt;&gt;"",VLOOKUP(A20,Employees!A:Q,2,0),"")</f>
        <v/>
      </c>
      <c r="C20" t="str">
        <f>IF(A20&lt;&gt;"",VLOOKUP(A20,Employees!A:Q,3,0),"")</f>
        <v/>
      </c>
      <c r="D20" s="17" t="str">
        <f>IF(IF(A20&lt;&gt;"",VLOOKUP(A20,Employees!A:Q,4,0),"")="NULL","",IF(A20&lt;&gt;"",VLOOKUP(A20,Employees!A:Q,4,0),""))</f>
        <v/>
      </c>
      <c r="E20" s="17" t="str">
        <f>IF(IF(A20&lt;&gt;"",VLOOKUP(A20,Employees!A:Q,5,0),"")="NULL","",IF(A20&lt;&gt;"",VLOOKUP(A20,Employees!A:Q,5,0),""))</f>
        <v/>
      </c>
      <c r="F20" t="str">
        <f>IF(IF(A20&lt;&gt;"",VLOOKUP(A20,Employees!A:Q,9,0),"")="NULL","",IF(A20&lt;&gt;"",VLOOKUP(A20,Employees!A:Q,9,0),""))</f>
        <v/>
      </c>
      <c r="G20" t="str">
        <f>IF(IF(A20&lt;&gt;"",VLOOKUP(A20,Employees!A:Q,10,0),"")="NULL","",IF(A20&lt;&gt;"",VLOOKUP(A20,Employees!A:Q,10,0),""))</f>
        <v/>
      </c>
      <c r="H20" t="str">
        <f>IF(IF(A20&lt;&gt;"",VLOOKUP(A20,Employees!A:Q,11,0),"")="NULL","",IF(A20&lt;&gt;"",VLOOKUP(A20,Employees!A:Q,11,0),""))</f>
        <v/>
      </c>
      <c r="I20" s="25" t="str">
        <f>IFERROR(VALUE(IF(IF(A20&lt;&gt;"",VLOOKUP(A20,Employees!A:Q,12,0),"")="NULL","",IF(A20&lt;&gt;"",VLOOKUP(A20,Employees!A:Q,12,0),""))),"")</f>
        <v/>
      </c>
      <c r="J20" t="str">
        <f>IF(IF(A20&lt;&gt;"",VLOOKUP(A20,Employees!A:Q,14,0),"")="NULL","",IF(A20&lt;&gt;"",VLOOKUP(A20,Employees!A:Q,14,0),""))</f>
        <v/>
      </c>
    </row>
    <row r="21" spans="2:10" x14ac:dyDescent="0.25">
      <c r="B21" t="str">
        <f>IF(A21&lt;&gt;"",VLOOKUP(A21,Employees!A:Q,2,0),"")</f>
        <v/>
      </c>
      <c r="C21" t="str">
        <f>IF(A21&lt;&gt;"",VLOOKUP(A21,Employees!A:Q,3,0),"")</f>
        <v/>
      </c>
      <c r="D21" s="17" t="str">
        <f>IF(IF(A21&lt;&gt;"",VLOOKUP(A21,Employees!A:Q,4,0),"")="NULL","",IF(A21&lt;&gt;"",VLOOKUP(A21,Employees!A:Q,4,0),""))</f>
        <v/>
      </c>
      <c r="E21" s="17" t="str">
        <f>IF(IF(A21&lt;&gt;"",VLOOKUP(A21,Employees!A:Q,5,0),"")="NULL","",IF(A21&lt;&gt;"",VLOOKUP(A21,Employees!A:Q,5,0),""))</f>
        <v/>
      </c>
      <c r="F21" t="str">
        <f>IF(IF(A21&lt;&gt;"",VLOOKUP(A21,Employees!A:Q,9,0),"")="NULL","",IF(A21&lt;&gt;"",VLOOKUP(A21,Employees!A:Q,9,0),""))</f>
        <v/>
      </c>
      <c r="G21" t="str">
        <f>IF(IF(A21&lt;&gt;"",VLOOKUP(A21,Employees!A:Q,10,0),"")="NULL","",IF(A21&lt;&gt;"",VLOOKUP(A21,Employees!A:Q,10,0),""))</f>
        <v/>
      </c>
      <c r="H21" t="str">
        <f>IF(IF(A21&lt;&gt;"",VLOOKUP(A21,Employees!A:Q,11,0),"")="NULL","",IF(A21&lt;&gt;"",VLOOKUP(A21,Employees!A:Q,11,0),""))</f>
        <v/>
      </c>
      <c r="I21" s="25" t="str">
        <f>IFERROR(VALUE(IF(IF(A21&lt;&gt;"",VLOOKUP(A21,Employees!A:Q,12,0),"")="NULL","",IF(A21&lt;&gt;"",VLOOKUP(A21,Employees!A:Q,12,0),""))),"")</f>
        <v/>
      </c>
      <c r="J21" t="str">
        <f>IF(IF(A21&lt;&gt;"",VLOOKUP(A21,Employees!A:Q,14,0),"")="NULL","",IF(A21&lt;&gt;"",VLOOKUP(A21,Employees!A:Q,14,0),""))</f>
        <v/>
      </c>
    </row>
    <row r="22" spans="2:10" x14ac:dyDescent="0.25">
      <c r="B22" t="str">
        <f>IF(A22&lt;&gt;"",VLOOKUP(A22,Employees!A:Q,2,0),"")</f>
        <v/>
      </c>
      <c r="C22" t="str">
        <f>IF(A22&lt;&gt;"",VLOOKUP(A22,Employees!A:Q,3,0),"")</f>
        <v/>
      </c>
      <c r="D22" s="17" t="str">
        <f>IF(IF(A22&lt;&gt;"",VLOOKUP(A22,Employees!A:Q,4,0),"")="NULL","",IF(A22&lt;&gt;"",VLOOKUP(A22,Employees!A:Q,4,0),""))</f>
        <v/>
      </c>
      <c r="E22" s="17" t="str">
        <f>IF(IF(A22&lt;&gt;"",VLOOKUP(A22,Employees!A:Q,5,0),"")="NULL","",IF(A22&lt;&gt;"",VLOOKUP(A22,Employees!A:Q,5,0),""))</f>
        <v/>
      </c>
      <c r="F22" t="str">
        <f>IF(IF(A22&lt;&gt;"",VLOOKUP(A22,Employees!A:Q,9,0),"")="NULL","",IF(A22&lt;&gt;"",VLOOKUP(A22,Employees!A:Q,9,0),""))</f>
        <v/>
      </c>
      <c r="G22" t="str">
        <f>IF(IF(A22&lt;&gt;"",VLOOKUP(A22,Employees!A:Q,10,0),"")="NULL","",IF(A22&lt;&gt;"",VLOOKUP(A22,Employees!A:Q,10,0),""))</f>
        <v/>
      </c>
      <c r="H22" t="str">
        <f>IF(IF(A22&lt;&gt;"",VLOOKUP(A22,Employees!A:Q,11,0),"")="NULL","",IF(A22&lt;&gt;"",VLOOKUP(A22,Employees!A:Q,11,0),""))</f>
        <v/>
      </c>
      <c r="I22" s="25" t="str">
        <f>IFERROR(VALUE(IF(IF(A22&lt;&gt;"",VLOOKUP(A22,Employees!A:Q,12,0),"")="NULL","",IF(A22&lt;&gt;"",VLOOKUP(A22,Employees!A:Q,12,0),""))),"")</f>
        <v/>
      </c>
      <c r="J22" t="str">
        <f>IF(IF(A22&lt;&gt;"",VLOOKUP(A22,Employees!A:Q,14,0),"")="NULL","",IF(A22&lt;&gt;"",VLOOKUP(A22,Employees!A:Q,14,0),""))</f>
        <v/>
      </c>
    </row>
    <row r="23" spans="2:10" x14ac:dyDescent="0.25">
      <c r="B23" t="str">
        <f>IF(A23&lt;&gt;"",VLOOKUP(A23,Employees!A:Q,2,0),"")</f>
        <v/>
      </c>
      <c r="C23" t="str">
        <f>IF(A23&lt;&gt;"",VLOOKUP(A23,Employees!A:Q,3,0),"")</f>
        <v/>
      </c>
      <c r="D23" s="17" t="str">
        <f>IF(IF(A23&lt;&gt;"",VLOOKUP(A23,Employees!A:Q,4,0),"")="NULL","",IF(A23&lt;&gt;"",VLOOKUP(A23,Employees!A:Q,4,0),""))</f>
        <v/>
      </c>
      <c r="E23" s="17" t="str">
        <f>IF(IF(A23&lt;&gt;"",VLOOKUP(A23,Employees!A:Q,5,0),"")="NULL","",IF(A23&lt;&gt;"",VLOOKUP(A23,Employees!A:Q,5,0),""))</f>
        <v/>
      </c>
      <c r="F23" t="str">
        <f>IF(IF(A23&lt;&gt;"",VLOOKUP(A23,Employees!A:Q,9,0),"")="NULL","",IF(A23&lt;&gt;"",VLOOKUP(A23,Employees!A:Q,9,0),""))</f>
        <v/>
      </c>
      <c r="G23" t="str">
        <f>IF(IF(A23&lt;&gt;"",VLOOKUP(A23,Employees!A:Q,10,0),"")="NULL","",IF(A23&lt;&gt;"",VLOOKUP(A23,Employees!A:Q,10,0),""))</f>
        <v/>
      </c>
      <c r="H23" t="str">
        <f>IF(IF(A23&lt;&gt;"",VLOOKUP(A23,Employees!A:Q,11,0),"")="NULL","",IF(A23&lt;&gt;"",VLOOKUP(A23,Employees!A:Q,11,0),""))</f>
        <v/>
      </c>
      <c r="I23" s="25" t="str">
        <f>IFERROR(VALUE(IF(IF(A23&lt;&gt;"",VLOOKUP(A23,Employees!A:Q,12,0),"")="NULL","",IF(A23&lt;&gt;"",VLOOKUP(A23,Employees!A:Q,12,0),""))),"")</f>
        <v/>
      </c>
      <c r="J23" t="str">
        <f>IF(IF(A23&lt;&gt;"",VLOOKUP(A23,Employees!A:Q,14,0),"")="NULL","",IF(A23&lt;&gt;"",VLOOKUP(A23,Employees!A:Q,14,0),""))</f>
        <v/>
      </c>
    </row>
    <row r="24" spans="2:10" x14ac:dyDescent="0.25">
      <c r="B24" t="str">
        <f>IF(A24&lt;&gt;"",VLOOKUP(A24,Employees!A:Q,2,0),"")</f>
        <v/>
      </c>
      <c r="C24" t="str">
        <f>IF(A24&lt;&gt;"",VLOOKUP(A24,Employees!A:Q,3,0),"")</f>
        <v/>
      </c>
      <c r="D24" s="17" t="str">
        <f>IF(IF(A24&lt;&gt;"",VLOOKUP(A24,Employees!A:Q,4,0),"")="NULL","",IF(A24&lt;&gt;"",VLOOKUP(A24,Employees!A:Q,4,0),""))</f>
        <v/>
      </c>
      <c r="E24" s="17" t="str">
        <f>IF(IF(A24&lt;&gt;"",VLOOKUP(A24,Employees!A:Q,5,0),"")="NULL","",IF(A24&lt;&gt;"",VLOOKUP(A24,Employees!A:Q,5,0),""))</f>
        <v/>
      </c>
      <c r="F24" t="str">
        <f>IF(IF(A24&lt;&gt;"",VLOOKUP(A24,Employees!A:Q,9,0),"")="NULL","",IF(A24&lt;&gt;"",VLOOKUP(A24,Employees!A:Q,9,0),""))</f>
        <v/>
      </c>
      <c r="G24" t="str">
        <f>IF(IF(A24&lt;&gt;"",VLOOKUP(A24,Employees!A:Q,10,0),"")="NULL","",IF(A24&lt;&gt;"",VLOOKUP(A24,Employees!A:Q,10,0),""))</f>
        <v/>
      </c>
      <c r="H24" t="str">
        <f>IF(IF(A24&lt;&gt;"",VLOOKUP(A24,Employees!A:Q,11,0),"")="NULL","",IF(A24&lt;&gt;"",VLOOKUP(A24,Employees!A:Q,11,0),""))</f>
        <v/>
      </c>
      <c r="I24" s="25" t="str">
        <f>IFERROR(VALUE(IF(IF(A24&lt;&gt;"",VLOOKUP(A24,Employees!A:Q,12,0),"")="NULL","",IF(A24&lt;&gt;"",VLOOKUP(A24,Employees!A:Q,12,0),""))),"")</f>
        <v/>
      </c>
      <c r="J24" t="str">
        <f>IF(IF(A24&lt;&gt;"",VLOOKUP(A24,Employees!A:Q,14,0),"")="NULL","",IF(A24&lt;&gt;"",VLOOKUP(A24,Employees!A:Q,14,0),""))</f>
        <v/>
      </c>
    </row>
    <row r="25" spans="2:10" x14ac:dyDescent="0.25">
      <c r="B25" t="str">
        <f>IF(A25&lt;&gt;"",VLOOKUP(A25,Employees!A:Q,2,0),"")</f>
        <v/>
      </c>
      <c r="C25" t="str">
        <f>IF(A25&lt;&gt;"",VLOOKUP(A25,Employees!A:Q,3,0),"")</f>
        <v/>
      </c>
      <c r="D25" s="17" t="str">
        <f>IF(IF(A25&lt;&gt;"",VLOOKUP(A25,Employees!A:Q,4,0),"")="NULL","",IF(A25&lt;&gt;"",VLOOKUP(A25,Employees!A:Q,4,0),""))</f>
        <v/>
      </c>
      <c r="E25" s="17" t="str">
        <f>IF(IF(A25&lt;&gt;"",VLOOKUP(A25,Employees!A:Q,5,0),"")="NULL","",IF(A25&lt;&gt;"",VLOOKUP(A25,Employees!A:Q,5,0),""))</f>
        <v/>
      </c>
      <c r="F25" t="str">
        <f>IF(IF(A25&lt;&gt;"",VLOOKUP(A25,Employees!A:Q,9,0),"")="NULL","",IF(A25&lt;&gt;"",VLOOKUP(A25,Employees!A:Q,9,0),""))</f>
        <v/>
      </c>
      <c r="G25" t="str">
        <f>IF(IF(A25&lt;&gt;"",VLOOKUP(A25,Employees!A:Q,10,0),"")="NULL","",IF(A25&lt;&gt;"",VLOOKUP(A25,Employees!A:Q,10,0),""))</f>
        <v/>
      </c>
      <c r="H25" t="str">
        <f>IF(IF(A25&lt;&gt;"",VLOOKUP(A25,Employees!A:Q,11,0),"")="NULL","",IF(A25&lt;&gt;"",VLOOKUP(A25,Employees!A:Q,11,0),""))</f>
        <v/>
      </c>
      <c r="I25" s="25" t="str">
        <f>IFERROR(VALUE(IF(IF(A25&lt;&gt;"",VLOOKUP(A25,Employees!A:Q,12,0),"")="NULL","",IF(A25&lt;&gt;"",VLOOKUP(A25,Employees!A:Q,12,0),""))),"")</f>
        <v/>
      </c>
      <c r="J25" t="str">
        <f>IF(IF(A25&lt;&gt;"",VLOOKUP(A25,Employees!A:Q,14,0),"")="NULL","",IF(A25&lt;&gt;"",VLOOKUP(A25,Employees!A:Q,14,0),""))</f>
        <v/>
      </c>
    </row>
    <row r="26" spans="2:10" x14ac:dyDescent="0.25">
      <c r="B26" t="str">
        <f>IF(A26&lt;&gt;"",VLOOKUP(A26,Employees!A:Q,2,0),"")</f>
        <v/>
      </c>
      <c r="C26" t="str">
        <f>IF(A26&lt;&gt;"",VLOOKUP(A26,Employees!A:Q,3,0),"")</f>
        <v/>
      </c>
      <c r="D26" s="17" t="str">
        <f>IF(IF(A26&lt;&gt;"",VLOOKUP(A26,Employees!A:Q,4,0),"")="NULL","",IF(A26&lt;&gt;"",VLOOKUP(A26,Employees!A:Q,4,0),""))</f>
        <v/>
      </c>
      <c r="E26" s="17" t="str">
        <f>IF(IF(A26&lt;&gt;"",VLOOKUP(A26,Employees!A:Q,5,0),"")="NULL","",IF(A26&lt;&gt;"",VLOOKUP(A26,Employees!A:Q,5,0),""))</f>
        <v/>
      </c>
      <c r="F26" t="str">
        <f>IF(IF(A26&lt;&gt;"",VLOOKUP(A26,Employees!A:Q,9,0),"")="NULL","",IF(A26&lt;&gt;"",VLOOKUP(A26,Employees!A:Q,9,0),""))</f>
        <v/>
      </c>
      <c r="G26" t="str">
        <f>IF(IF(A26&lt;&gt;"",VLOOKUP(A26,Employees!A:Q,10,0),"")="NULL","",IF(A26&lt;&gt;"",VLOOKUP(A26,Employees!A:Q,10,0),""))</f>
        <v/>
      </c>
      <c r="H26" t="str">
        <f>IF(IF(A26&lt;&gt;"",VLOOKUP(A26,Employees!A:Q,11,0),"")="NULL","",IF(A26&lt;&gt;"",VLOOKUP(A26,Employees!A:Q,11,0),""))</f>
        <v/>
      </c>
      <c r="I26" s="25" t="str">
        <f>IFERROR(VALUE(IF(IF(A26&lt;&gt;"",VLOOKUP(A26,Employees!A:Q,12,0),"")="NULL","",IF(A26&lt;&gt;"",VLOOKUP(A26,Employees!A:Q,12,0),""))),"")</f>
        <v/>
      </c>
      <c r="J26" t="str">
        <f>IF(IF(A26&lt;&gt;"",VLOOKUP(A26,Employees!A:Q,14,0),"")="NULL","",IF(A26&lt;&gt;"",VLOOKUP(A26,Employees!A:Q,14,0),""))</f>
        <v/>
      </c>
    </row>
    <row r="27" spans="2:10" x14ac:dyDescent="0.25">
      <c r="B27" t="str">
        <f>IF(A27&lt;&gt;"",VLOOKUP(A27,Employees!A:Q,2,0),"")</f>
        <v/>
      </c>
      <c r="C27" t="str">
        <f>IF(A27&lt;&gt;"",VLOOKUP(A27,Employees!A:Q,3,0),"")</f>
        <v/>
      </c>
      <c r="D27" s="17" t="str">
        <f>IF(IF(A27&lt;&gt;"",VLOOKUP(A27,Employees!A:Q,4,0),"")="NULL","",IF(A27&lt;&gt;"",VLOOKUP(A27,Employees!A:Q,4,0),""))</f>
        <v/>
      </c>
      <c r="E27" s="17" t="str">
        <f>IF(IF(A27&lt;&gt;"",VLOOKUP(A27,Employees!A:Q,5,0),"")="NULL","",IF(A27&lt;&gt;"",VLOOKUP(A27,Employees!A:Q,5,0),""))</f>
        <v/>
      </c>
      <c r="F27" t="str">
        <f>IF(IF(A27&lt;&gt;"",VLOOKUP(A27,Employees!A:Q,9,0),"")="NULL","",IF(A27&lt;&gt;"",VLOOKUP(A27,Employees!A:Q,9,0),""))</f>
        <v/>
      </c>
      <c r="G27" t="str">
        <f>IF(IF(A27&lt;&gt;"",VLOOKUP(A27,Employees!A:Q,10,0),"")="NULL","",IF(A27&lt;&gt;"",VLOOKUP(A27,Employees!A:Q,10,0),""))</f>
        <v/>
      </c>
      <c r="H27" t="str">
        <f>IF(IF(A27&lt;&gt;"",VLOOKUP(A27,Employees!A:Q,11,0),"")="NULL","",IF(A27&lt;&gt;"",VLOOKUP(A27,Employees!A:Q,11,0),""))</f>
        <v/>
      </c>
      <c r="I27" s="25" t="str">
        <f>IFERROR(VALUE(IF(IF(A27&lt;&gt;"",VLOOKUP(A27,Employees!A:Q,12,0),"")="NULL","",IF(A27&lt;&gt;"",VLOOKUP(A27,Employees!A:Q,12,0),""))),"")</f>
        <v/>
      </c>
      <c r="J27" t="str">
        <f>IF(IF(A27&lt;&gt;"",VLOOKUP(A27,Employees!A:Q,14,0),"")="NULL","",IF(A27&lt;&gt;"",VLOOKUP(A27,Employees!A:Q,14,0),""))</f>
        <v/>
      </c>
    </row>
    <row r="28" spans="2:10" x14ac:dyDescent="0.25">
      <c r="B28" t="str">
        <f>IF(A28&lt;&gt;"",VLOOKUP(A28,Employees!A:Q,2,0),"")</f>
        <v/>
      </c>
      <c r="C28" t="str">
        <f>IF(A28&lt;&gt;"",VLOOKUP(A28,Employees!A:Q,3,0),"")</f>
        <v/>
      </c>
      <c r="D28" s="17" t="str">
        <f>IF(IF(A28&lt;&gt;"",VLOOKUP(A28,Employees!A:Q,4,0),"")="NULL","",IF(A28&lt;&gt;"",VLOOKUP(A28,Employees!A:Q,4,0),""))</f>
        <v/>
      </c>
      <c r="E28" s="17" t="str">
        <f>IF(IF(A28&lt;&gt;"",VLOOKUP(A28,Employees!A:Q,5,0),"")="NULL","",IF(A28&lt;&gt;"",VLOOKUP(A28,Employees!A:Q,5,0),""))</f>
        <v/>
      </c>
      <c r="F28" t="str">
        <f>IF(IF(A28&lt;&gt;"",VLOOKUP(A28,Employees!A:Q,9,0),"")="NULL","",IF(A28&lt;&gt;"",VLOOKUP(A28,Employees!A:Q,9,0),""))</f>
        <v/>
      </c>
      <c r="G28" t="str">
        <f>IF(IF(A28&lt;&gt;"",VLOOKUP(A28,Employees!A:Q,10,0),"")="NULL","",IF(A28&lt;&gt;"",VLOOKUP(A28,Employees!A:Q,10,0),""))</f>
        <v/>
      </c>
      <c r="H28" t="str">
        <f>IF(IF(A28&lt;&gt;"",VLOOKUP(A28,Employees!A:Q,11,0),"")="NULL","",IF(A28&lt;&gt;"",VLOOKUP(A28,Employees!A:Q,11,0),""))</f>
        <v/>
      </c>
      <c r="I28" s="25" t="str">
        <f>IFERROR(VALUE(IF(IF(A28&lt;&gt;"",VLOOKUP(A28,Employees!A:Q,12,0),"")="NULL","",IF(A28&lt;&gt;"",VLOOKUP(A28,Employees!A:Q,12,0),""))),"")</f>
        <v/>
      </c>
      <c r="J28" t="str">
        <f>IF(IF(A28&lt;&gt;"",VLOOKUP(A28,Employees!A:Q,14,0),"")="NULL","",IF(A28&lt;&gt;"",VLOOKUP(A28,Employees!A:Q,14,0),""))</f>
        <v/>
      </c>
    </row>
    <row r="29" spans="2:10" x14ac:dyDescent="0.25">
      <c r="B29" t="str">
        <f>IF(A29&lt;&gt;"",VLOOKUP(A29,Employees!A:Q,2,0),"")</f>
        <v/>
      </c>
      <c r="C29" t="str">
        <f>IF(A29&lt;&gt;"",VLOOKUP(A29,Employees!A:Q,3,0),"")</f>
        <v/>
      </c>
      <c r="D29" s="17" t="str">
        <f>IF(IF(A29&lt;&gt;"",VLOOKUP(A29,Employees!A:Q,4,0),"")="NULL","",IF(A29&lt;&gt;"",VLOOKUP(A29,Employees!A:Q,4,0),""))</f>
        <v/>
      </c>
      <c r="E29" s="17" t="str">
        <f>IF(IF(A29&lt;&gt;"",VLOOKUP(A29,Employees!A:Q,5,0),"")="NULL","",IF(A29&lt;&gt;"",VLOOKUP(A29,Employees!A:Q,5,0),""))</f>
        <v/>
      </c>
      <c r="F29" t="str">
        <f>IF(IF(A29&lt;&gt;"",VLOOKUP(A29,Employees!A:Q,9,0),"")="NULL","",IF(A29&lt;&gt;"",VLOOKUP(A29,Employees!A:Q,9,0),""))</f>
        <v/>
      </c>
      <c r="G29" t="str">
        <f>IF(IF(A29&lt;&gt;"",VLOOKUP(A29,Employees!A:Q,10,0),"")="NULL","",IF(A29&lt;&gt;"",VLOOKUP(A29,Employees!A:Q,10,0),""))</f>
        <v/>
      </c>
      <c r="H29" t="str">
        <f>IF(IF(A29&lt;&gt;"",VLOOKUP(A29,Employees!A:Q,11,0),"")="NULL","",IF(A29&lt;&gt;"",VLOOKUP(A29,Employees!A:Q,11,0),""))</f>
        <v/>
      </c>
      <c r="I29" s="25" t="str">
        <f>IFERROR(VALUE(IF(IF(A29&lt;&gt;"",VLOOKUP(A29,Employees!A:Q,12,0),"")="NULL","",IF(A29&lt;&gt;"",VLOOKUP(A29,Employees!A:Q,12,0),""))),"")</f>
        <v/>
      </c>
      <c r="J29" t="str">
        <f>IF(IF(A29&lt;&gt;"",VLOOKUP(A29,Employees!A:Q,14,0),"")="NULL","",IF(A29&lt;&gt;"",VLOOKUP(A29,Employees!A:Q,14,0),""))</f>
        <v/>
      </c>
    </row>
    <row r="30" spans="2:10" x14ac:dyDescent="0.25">
      <c r="B30" t="str">
        <f>IF(A30&lt;&gt;"",VLOOKUP(A30,Employees!A:Q,2,0),"")</f>
        <v/>
      </c>
      <c r="C30" t="str">
        <f>IF(A30&lt;&gt;"",VLOOKUP(A30,Employees!A:Q,3,0),"")</f>
        <v/>
      </c>
      <c r="D30" s="17" t="str">
        <f>IF(IF(A30&lt;&gt;"",VLOOKUP(A30,Employees!A:Q,4,0),"")="NULL","",IF(A30&lt;&gt;"",VLOOKUP(A30,Employees!A:Q,4,0),""))</f>
        <v/>
      </c>
      <c r="E30" s="17" t="str">
        <f>IF(IF(A30&lt;&gt;"",VLOOKUP(A30,Employees!A:Q,5,0),"")="NULL","",IF(A30&lt;&gt;"",VLOOKUP(A30,Employees!A:Q,5,0),""))</f>
        <v/>
      </c>
      <c r="F30" t="str">
        <f>IF(IF(A30&lt;&gt;"",VLOOKUP(A30,Employees!A:Q,9,0),"")="NULL","",IF(A30&lt;&gt;"",VLOOKUP(A30,Employees!A:Q,9,0),""))</f>
        <v/>
      </c>
      <c r="G30" t="str">
        <f>IF(IF(A30&lt;&gt;"",VLOOKUP(A30,Employees!A:Q,10,0),"")="NULL","",IF(A30&lt;&gt;"",VLOOKUP(A30,Employees!A:Q,10,0),""))</f>
        <v/>
      </c>
      <c r="H30" t="str">
        <f>IF(IF(A30&lt;&gt;"",VLOOKUP(A30,Employees!A:Q,11,0),"")="NULL","",IF(A30&lt;&gt;"",VLOOKUP(A30,Employees!A:Q,11,0),""))</f>
        <v/>
      </c>
      <c r="I30" s="25" t="str">
        <f>IFERROR(VALUE(IF(IF(A30&lt;&gt;"",VLOOKUP(A30,Employees!A:Q,12,0),"")="NULL","",IF(A30&lt;&gt;"",VLOOKUP(A30,Employees!A:Q,12,0),""))),"")</f>
        <v/>
      </c>
      <c r="J30" t="str">
        <f>IF(IF(A30&lt;&gt;"",VLOOKUP(A30,Employees!A:Q,14,0),"")="NULL","",IF(A30&lt;&gt;"",VLOOKUP(A30,Employees!A:Q,14,0),""))</f>
        <v/>
      </c>
    </row>
    <row r="31" spans="2:10" x14ac:dyDescent="0.25">
      <c r="B31" t="str">
        <f>IF(A31&lt;&gt;"",VLOOKUP(A31,Employees!A:Q,2,0),"")</f>
        <v/>
      </c>
      <c r="C31" t="str">
        <f>IF(A31&lt;&gt;"",VLOOKUP(A31,Employees!A:Q,3,0),"")</f>
        <v/>
      </c>
      <c r="D31" s="17" t="str">
        <f>IF(IF(A31&lt;&gt;"",VLOOKUP(A31,Employees!A:Q,4,0),"")="NULL","",IF(A31&lt;&gt;"",VLOOKUP(A31,Employees!A:Q,4,0),""))</f>
        <v/>
      </c>
      <c r="E31" s="17" t="str">
        <f>IF(IF(A31&lt;&gt;"",VLOOKUP(A31,Employees!A:Q,5,0),"")="NULL","",IF(A31&lt;&gt;"",VLOOKUP(A31,Employees!A:Q,5,0),""))</f>
        <v/>
      </c>
      <c r="F31" t="str">
        <f>IF(IF(A31&lt;&gt;"",VLOOKUP(A31,Employees!A:Q,9,0),"")="NULL","",IF(A31&lt;&gt;"",VLOOKUP(A31,Employees!A:Q,9,0),""))</f>
        <v/>
      </c>
      <c r="G31" t="str">
        <f>IF(IF(A31&lt;&gt;"",VLOOKUP(A31,Employees!A:Q,10,0),"")="NULL","",IF(A31&lt;&gt;"",VLOOKUP(A31,Employees!A:Q,10,0),""))</f>
        <v/>
      </c>
      <c r="H31" t="str">
        <f>IF(IF(A31&lt;&gt;"",VLOOKUP(A31,Employees!A:Q,11,0),"")="NULL","",IF(A31&lt;&gt;"",VLOOKUP(A31,Employees!A:Q,11,0),""))</f>
        <v/>
      </c>
      <c r="I31" s="25" t="str">
        <f>IFERROR(VALUE(IF(IF(A31&lt;&gt;"",VLOOKUP(A31,Employees!A:Q,12,0),"")="NULL","",IF(A31&lt;&gt;"",VLOOKUP(A31,Employees!A:Q,12,0),""))),"")</f>
        <v/>
      </c>
      <c r="J31" t="str">
        <f>IF(IF(A31&lt;&gt;"",VLOOKUP(A31,Employees!A:Q,14,0),"")="NULL","",IF(A31&lt;&gt;"",VLOOKUP(A31,Employees!A:Q,14,0),""))</f>
        <v/>
      </c>
    </row>
    <row r="32" spans="2:10" x14ac:dyDescent="0.25">
      <c r="B32" t="str">
        <f>IF(A32&lt;&gt;"",VLOOKUP(A32,Employees!A:Q,2,0),"")</f>
        <v/>
      </c>
      <c r="C32" t="str">
        <f>IF(A32&lt;&gt;"",VLOOKUP(A32,Employees!A:Q,3,0),"")</f>
        <v/>
      </c>
      <c r="D32" s="17" t="str">
        <f>IF(IF(A32&lt;&gt;"",VLOOKUP(A32,Employees!A:Q,4,0),"")="NULL","",IF(A32&lt;&gt;"",VLOOKUP(A32,Employees!A:Q,4,0),""))</f>
        <v/>
      </c>
      <c r="E32" s="17" t="str">
        <f>IF(IF(A32&lt;&gt;"",VLOOKUP(A32,Employees!A:Q,5,0),"")="NULL","",IF(A32&lt;&gt;"",VLOOKUP(A32,Employees!A:Q,5,0),""))</f>
        <v/>
      </c>
      <c r="F32" t="str">
        <f>IF(IF(A32&lt;&gt;"",VLOOKUP(A32,Employees!A:Q,9,0),"")="NULL","",IF(A32&lt;&gt;"",VLOOKUP(A32,Employees!A:Q,9,0),""))</f>
        <v/>
      </c>
      <c r="G32" t="str">
        <f>IF(IF(A32&lt;&gt;"",VLOOKUP(A32,Employees!A:Q,10,0),"")="NULL","",IF(A32&lt;&gt;"",VLOOKUP(A32,Employees!A:Q,10,0),""))</f>
        <v/>
      </c>
      <c r="H32" t="str">
        <f>IF(IF(A32&lt;&gt;"",VLOOKUP(A32,Employees!A:Q,11,0),"")="NULL","",IF(A32&lt;&gt;"",VLOOKUP(A32,Employees!A:Q,11,0),""))</f>
        <v/>
      </c>
      <c r="I32" s="25" t="str">
        <f>IFERROR(VALUE(IF(IF(A32&lt;&gt;"",VLOOKUP(A32,Employees!A:Q,12,0),"")="NULL","",IF(A32&lt;&gt;"",VLOOKUP(A32,Employees!A:Q,12,0),""))),"")</f>
        <v/>
      </c>
      <c r="J32" t="str">
        <f>IF(IF(A32&lt;&gt;"",VLOOKUP(A32,Employees!A:Q,14,0),"")="NULL","",IF(A32&lt;&gt;"",VLOOKUP(A32,Employees!A:Q,14,0),""))</f>
        <v/>
      </c>
    </row>
    <row r="33" spans="2:10" x14ac:dyDescent="0.25">
      <c r="B33" t="str">
        <f>IF(A33&lt;&gt;"",VLOOKUP(A33,Employees!A:Q,2,0),"")</f>
        <v/>
      </c>
      <c r="C33" t="str">
        <f>IF(A33&lt;&gt;"",VLOOKUP(A33,Employees!A:Q,3,0),"")</f>
        <v/>
      </c>
      <c r="D33" s="17" t="str">
        <f>IF(IF(A33&lt;&gt;"",VLOOKUP(A33,Employees!A:Q,4,0),"")="NULL","",IF(A33&lt;&gt;"",VLOOKUP(A33,Employees!A:Q,4,0),""))</f>
        <v/>
      </c>
      <c r="E33" s="17" t="str">
        <f>IF(IF(A33&lt;&gt;"",VLOOKUP(A33,Employees!A:Q,5,0),"")="NULL","",IF(A33&lt;&gt;"",VLOOKUP(A33,Employees!A:Q,5,0),""))</f>
        <v/>
      </c>
      <c r="F33" t="str">
        <f>IF(IF(A33&lt;&gt;"",VLOOKUP(A33,Employees!A:Q,9,0),"")="NULL","",IF(A33&lt;&gt;"",VLOOKUP(A33,Employees!A:Q,9,0),""))</f>
        <v/>
      </c>
      <c r="G33" t="str">
        <f>IF(IF(A33&lt;&gt;"",VLOOKUP(A33,Employees!A:Q,10,0),"")="NULL","",IF(A33&lt;&gt;"",VLOOKUP(A33,Employees!A:Q,10,0),""))</f>
        <v/>
      </c>
      <c r="H33" t="str">
        <f>IF(IF(A33&lt;&gt;"",VLOOKUP(A33,Employees!A:Q,11,0),"")="NULL","",IF(A33&lt;&gt;"",VLOOKUP(A33,Employees!A:Q,11,0),""))</f>
        <v/>
      </c>
      <c r="I33" s="25" t="str">
        <f>IFERROR(VALUE(IF(IF(A33&lt;&gt;"",VLOOKUP(A33,Employees!A:Q,12,0),"")="NULL","",IF(A33&lt;&gt;"",VLOOKUP(A33,Employees!A:Q,12,0),""))),"")</f>
        <v/>
      </c>
      <c r="J33" t="str">
        <f>IF(IF(A33&lt;&gt;"",VLOOKUP(A33,Employees!A:Q,14,0),"")="NULL","",IF(A33&lt;&gt;"",VLOOKUP(A33,Employees!A:Q,14,0),""))</f>
        <v/>
      </c>
    </row>
    <row r="34" spans="2:10" x14ac:dyDescent="0.25">
      <c r="B34" t="str">
        <f>IF(A34&lt;&gt;"",VLOOKUP(A34,Employees!A:Q,2,0),"")</f>
        <v/>
      </c>
      <c r="C34" t="str">
        <f>IF(A34&lt;&gt;"",VLOOKUP(A34,Employees!A:Q,3,0),"")</f>
        <v/>
      </c>
      <c r="D34" s="17" t="str">
        <f>IF(IF(A34&lt;&gt;"",VLOOKUP(A34,Employees!A:Q,4,0),"")="NULL","",IF(A34&lt;&gt;"",VLOOKUP(A34,Employees!A:Q,4,0),""))</f>
        <v/>
      </c>
      <c r="E34" s="17" t="str">
        <f>IF(IF(A34&lt;&gt;"",VLOOKUP(A34,Employees!A:Q,5,0),"")="NULL","",IF(A34&lt;&gt;"",VLOOKUP(A34,Employees!A:Q,5,0),""))</f>
        <v/>
      </c>
      <c r="F34" t="str">
        <f>IF(IF(A34&lt;&gt;"",VLOOKUP(A34,Employees!A:Q,9,0),"")="NULL","",IF(A34&lt;&gt;"",VLOOKUP(A34,Employees!A:Q,9,0),""))</f>
        <v/>
      </c>
      <c r="G34" t="str">
        <f>IF(IF(A34&lt;&gt;"",VLOOKUP(A34,Employees!A:Q,10,0),"")="NULL","",IF(A34&lt;&gt;"",VLOOKUP(A34,Employees!A:Q,10,0),""))</f>
        <v/>
      </c>
      <c r="H34" t="str">
        <f>IF(IF(A34&lt;&gt;"",VLOOKUP(A34,Employees!A:Q,11,0),"")="NULL","",IF(A34&lt;&gt;"",VLOOKUP(A34,Employees!A:Q,11,0),""))</f>
        <v/>
      </c>
      <c r="I34" s="25" t="str">
        <f>IFERROR(VALUE(IF(IF(A34&lt;&gt;"",VLOOKUP(A34,Employees!A:Q,12,0),"")="NULL","",IF(A34&lt;&gt;"",VLOOKUP(A34,Employees!A:Q,12,0),""))),"")</f>
        <v/>
      </c>
      <c r="J34" t="str">
        <f>IF(IF(A34&lt;&gt;"",VLOOKUP(A34,Employees!A:Q,14,0),"")="NULL","",IF(A34&lt;&gt;"",VLOOKUP(A34,Employees!A:Q,14,0),""))</f>
        <v/>
      </c>
    </row>
    <row r="35" spans="2:10" x14ac:dyDescent="0.25">
      <c r="B35" t="str">
        <f>IF(A35&lt;&gt;"",VLOOKUP(A35,Employees!A:Q,2,0),"")</f>
        <v/>
      </c>
      <c r="C35" t="str">
        <f>IF(A35&lt;&gt;"",VLOOKUP(A35,Employees!A:Q,3,0),"")</f>
        <v/>
      </c>
      <c r="D35" s="17" t="str">
        <f>IF(IF(A35&lt;&gt;"",VLOOKUP(A35,Employees!A:Q,4,0),"")="NULL","",IF(A35&lt;&gt;"",VLOOKUP(A35,Employees!A:Q,4,0),""))</f>
        <v/>
      </c>
      <c r="E35" s="17" t="str">
        <f>IF(IF(A35&lt;&gt;"",VLOOKUP(A35,Employees!A:Q,5,0),"")="NULL","",IF(A35&lt;&gt;"",VLOOKUP(A35,Employees!A:Q,5,0),""))</f>
        <v/>
      </c>
      <c r="F35" t="str">
        <f>IF(IF(A35&lt;&gt;"",VLOOKUP(A35,Employees!A:Q,9,0),"")="NULL","",IF(A35&lt;&gt;"",VLOOKUP(A35,Employees!A:Q,9,0),""))</f>
        <v/>
      </c>
      <c r="G35" t="str">
        <f>IF(IF(A35&lt;&gt;"",VLOOKUP(A35,Employees!A:Q,10,0),"")="NULL","",IF(A35&lt;&gt;"",VLOOKUP(A35,Employees!A:Q,10,0),""))</f>
        <v/>
      </c>
      <c r="H35" t="str">
        <f>IF(IF(A35&lt;&gt;"",VLOOKUP(A35,Employees!A:Q,11,0),"")="NULL","",IF(A35&lt;&gt;"",VLOOKUP(A35,Employees!A:Q,11,0),""))</f>
        <v/>
      </c>
      <c r="I35" s="25" t="str">
        <f>IFERROR(VALUE(IF(IF(A35&lt;&gt;"",VLOOKUP(A35,Employees!A:Q,12,0),"")="NULL","",IF(A35&lt;&gt;"",VLOOKUP(A35,Employees!A:Q,12,0),""))),"")</f>
        <v/>
      </c>
      <c r="J35" t="str">
        <f>IF(IF(A35&lt;&gt;"",VLOOKUP(A35,Employees!A:Q,14,0),"")="NULL","",IF(A35&lt;&gt;"",VLOOKUP(A35,Employees!A:Q,14,0),""))</f>
        <v/>
      </c>
    </row>
    <row r="36" spans="2:10" x14ac:dyDescent="0.25">
      <c r="B36" t="str">
        <f>IF(A36&lt;&gt;"",VLOOKUP(A36,Employees!A:Q,2,0),"")</f>
        <v/>
      </c>
      <c r="C36" t="str">
        <f>IF(A36&lt;&gt;"",VLOOKUP(A36,Employees!A:Q,3,0),"")</f>
        <v/>
      </c>
      <c r="D36" s="17" t="str">
        <f>IF(IF(A36&lt;&gt;"",VLOOKUP(A36,Employees!A:Q,4,0),"")="NULL","",IF(A36&lt;&gt;"",VLOOKUP(A36,Employees!A:Q,4,0),""))</f>
        <v/>
      </c>
      <c r="E36" s="17" t="str">
        <f>IF(IF(A36&lt;&gt;"",VLOOKUP(A36,Employees!A:Q,5,0),"")="NULL","",IF(A36&lt;&gt;"",VLOOKUP(A36,Employees!A:Q,5,0),""))</f>
        <v/>
      </c>
      <c r="F36" t="str">
        <f>IF(IF(A36&lt;&gt;"",VLOOKUP(A36,Employees!A:Q,9,0),"")="NULL","",IF(A36&lt;&gt;"",VLOOKUP(A36,Employees!A:Q,9,0),""))</f>
        <v/>
      </c>
      <c r="G36" t="str">
        <f>IF(IF(A36&lt;&gt;"",VLOOKUP(A36,Employees!A:Q,10,0),"")="NULL","",IF(A36&lt;&gt;"",VLOOKUP(A36,Employees!A:Q,10,0),""))</f>
        <v/>
      </c>
      <c r="H36" t="str">
        <f>IF(IF(A36&lt;&gt;"",VLOOKUP(A36,Employees!A:Q,11,0),"")="NULL","",IF(A36&lt;&gt;"",VLOOKUP(A36,Employees!A:Q,11,0),""))</f>
        <v/>
      </c>
      <c r="I36" s="25" t="str">
        <f>IFERROR(VALUE(IF(IF(A36&lt;&gt;"",VLOOKUP(A36,Employees!A:Q,12,0),"")="NULL","",IF(A36&lt;&gt;"",VLOOKUP(A36,Employees!A:Q,12,0),""))),"")</f>
        <v/>
      </c>
      <c r="J36" t="str">
        <f>IF(IF(A36&lt;&gt;"",VLOOKUP(A36,Employees!A:Q,14,0),"")="NULL","",IF(A36&lt;&gt;"",VLOOKUP(A36,Employees!A:Q,14,0),""))</f>
        <v/>
      </c>
    </row>
    <row r="37" spans="2:10" x14ac:dyDescent="0.25">
      <c r="B37" t="str">
        <f>IF(A37&lt;&gt;"",VLOOKUP(A37,Employees!A:Q,2,0),"")</f>
        <v/>
      </c>
      <c r="C37" t="str">
        <f>IF(A37&lt;&gt;"",VLOOKUP(A37,Employees!A:Q,3,0),"")</f>
        <v/>
      </c>
      <c r="D37" s="17" t="str">
        <f>IF(IF(A37&lt;&gt;"",VLOOKUP(A37,Employees!A:Q,4,0),"")="NULL","",IF(A37&lt;&gt;"",VLOOKUP(A37,Employees!A:Q,4,0),""))</f>
        <v/>
      </c>
      <c r="E37" s="17" t="str">
        <f>IF(IF(A37&lt;&gt;"",VLOOKUP(A37,Employees!A:Q,5,0),"")="NULL","",IF(A37&lt;&gt;"",VLOOKUP(A37,Employees!A:Q,5,0),""))</f>
        <v/>
      </c>
      <c r="F37" t="str">
        <f>IF(IF(A37&lt;&gt;"",VLOOKUP(A37,Employees!A:Q,9,0),"")="NULL","",IF(A37&lt;&gt;"",VLOOKUP(A37,Employees!A:Q,9,0),""))</f>
        <v/>
      </c>
      <c r="G37" t="str">
        <f>IF(IF(A37&lt;&gt;"",VLOOKUP(A37,Employees!A:Q,10,0),"")="NULL","",IF(A37&lt;&gt;"",VLOOKUP(A37,Employees!A:Q,10,0),""))</f>
        <v/>
      </c>
      <c r="H37" t="str">
        <f>IF(IF(A37&lt;&gt;"",VLOOKUP(A37,Employees!A:Q,11,0),"")="NULL","",IF(A37&lt;&gt;"",VLOOKUP(A37,Employees!A:Q,11,0),""))</f>
        <v/>
      </c>
      <c r="I37" s="25" t="str">
        <f>IFERROR(VALUE(IF(IF(A37&lt;&gt;"",VLOOKUP(A37,Employees!A:Q,12,0),"")="NULL","",IF(A37&lt;&gt;"",VLOOKUP(A37,Employees!A:Q,12,0),""))),"")</f>
        <v/>
      </c>
      <c r="J37" t="str">
        <f>IF(IF(A37&lt;&gt;"",VLOOKUP(A37,Employees!A:Q,14,0),"")="NULL","",IF(A37&lt;&gt;"",VLOOKUP(A37,Employees!A:Q,14,0),""))</f>
        <v/>
      </c>
    </row>
    <row r="38" spans="2:10" x14ac:dyDescent="0.25">
      <c r="B38" t="str">
        <f>IF(A38&lt;&gt;"",VLOOKUP(A38,Employees!A:Q,2,0),"")</f>
        <v/>
      </c>
      <c r="C38" t="str">
        <f>IF(A38&lt;&gt;"",VLOOKUP(A38,Employees!A:Q,3,0),"")</f>
        <v/>
      </c>
      <c r="D38" s="17" t="str">
        <f>IF(IF(A38&lt;&gt;"",VLOOKUP(A38,Employees!A:Q,4,0),"")="NULL","",IF(A38&lt;&gt;"",VLOOKUP(A38,Employees!A:Q,4,0),""))</f>
        <v/>
      </c>
      <c r="E38" s="17" t="str">
        <f>IF(IF(A38&lt;&gt;"",VLOOKUP(A38,Employees!A:Q,5,0),"")="NULL","",IF(A38&lt;&gt;"",VLOOKUP(A38,Employees!A:Q,5,0),""))</f>
        <v/>
      </c>
      <c r="F38" t="str">
        <f>IF(IF(A38&lt;&gt;"",VLOOKUP(A38,Employees!A:Q,9,0),"")="NULL","",IF(A38&lt;&gt;"",VLOOKUP(A38,Employees!A:Q,9,0),""))</f>
        <v/>
      </c>
      <c r="G38" t="str">
        <f>IF(IF(A38&lt;&gt;"",VLOOKUP(A38,Employees!A:Q,10,0),"")="NULL","",IF(A38&lt;&gt;"",VLOOKUP(A38,Employees!A:Q,10,0),""))</f>
        <v/>
      </c>
      <c r="H38" t="str">
        <f>IF(IF(A38&lt;&gt;"",VLOOKUP(A38,Employees!A:Q,11,0),"")="NULL","",IF(A38&lt;&gt;"",VLOOKUP(A38,Employees!A:Q,11,0),""))</f>
        <v/>
      </c>
      <c r="I38" s="25" t="str">
        <f>IFERROR(VALUE(IF(IF(A38&lt;&gt;"",VLOOKUP(A38,Employees!A:Q,12,0),"")="NULL","",IF(A38&lt;&gt;"",VLOOKUP(A38,Employees!A:Q,12,0),""))),"")</f>
        <v/>
      </c>
      <c r="J38" t="str">
        <f>IF(IF(A38&lt;&gt;"",VLOOKUP(A38,Employees!A:Q,14,0),"")="NULL","",IF(A38&lt;&gt;"",VLOOKUP(A38,Employees!A:Q,14,0),""))</f>
        <v/>
      </c>
    </row>
    <row r="39" spans="2:10" x14ac:dyDescent="0.25">
      <c r="B39" t="str">
        <f>IF(A39&lt;&gt;"",VLOOKUP(A39,Employees!A:Q,2,0),"")</f>
        <v/>
      </c>
      <c r="C39" t="str">
        <f>IF(A39&lt;&gt;"",VLOOKUP(A39,Employees!A:Q,3,0),"")</f>
        <v/>
      </c>
      <c r="D39" s="17" t="str">
        <f>IF(IF(A39&lt;&gt;"",VLOOKUP(A39,Employees!A:Q,4,0),"")="NULL","",IF(A39&lt;&gt;"",VLOOKUP(A39,Employees!A:Q,4,0),""))</f>
        <v/>
      </c>
      <c r="E39" s="17" t="str">
        <f>IF(IF(A39&lt;&gt;"",VLOOKUP(A39,Employees!A:Q,5,0),"")="NULL","",IF(A39&lt;&gt;"",VLOOKUP(A39,Employees!A:Q,5,0),""))</f>
        <v/>
      </c>
      <c r="F39" t="str">
        <f>IF(IF(A39&lt;&gt;"",VLOOKUP(A39,Employees!A:Q,9,0),"")="NULL","",IF(A39&lt;&gt;"",VLOOKUP(A39,Employees!A:Q,9,0),""))</f>
        <v/>
      </c>
      <c r="G39" t="str">
        <f>IF(IF(A39&lt;&gt;"",VLOOKUP(A39,Employees!A:Q,10,0),"")="NULL","",IF(A39&lt;&gt;"",VLOOKUP(A39,Employees!A:Q,10,0),""))</f>
        <v/>
      </c>
      <c r="H39" t="str">
        <f>IF(IF(A39&lt;&gt;"",VLOOKUP(A39,Employees!A:Q,11,0),"")="NULL","",IF(A39&lt;&gt;"",VLOOKUP(A39,Employees!A:Q,11,0),""))</f>
        <v/>
      </c>
      <c r="I39" s="25" t="str">
        <f>IFERROR(VALUE(IF(IF(A39&lt;&gt;"",VLOOKUP(A39,Employees!A:Q,12,0),"")="NULL","",IF(A39&lt;&gt;"",VLOOKUP(A39,Employees!A:Q,12,0),""))),"")</f>
        <v/>
      </c>
      <c r="J39" t="str">
        <f>IF(IF(A39&lt;&gt;"",VLOOKUP(A39,Employees!A:Q,14,0),"")="NULL","",IF(A39&lt;&gt;"",VLOOKUP(A39,Employees!A:Q,14,0),""))</f>
        <v/>
      </c>
    </row>
    <row r="40" spans="2:10" x14ac:dyDescent="0.25">
      <c r="B40" t="str">
        <f>IF(A40&lt;&gt;"",VLOOKUP(A40,Employees!A:Q,2,0),"")</f>
        <v/>
      </c>
      <c r="C40" t="str">
        <f>IF(A40&lt;&gt;"",VLOOKUP(A40,Employees!A:Q,3,0),"")</f>
        <v/>
      </c>
      <c r="D40" s="17" t="str">
        <f>IF(IF(A40&lt;&gt;"",VLOOKUP(A40,Employees!A:Q,4,0),"")="NULL","",IF(A40&lt;&gt;"",VLOOKUP(A40,Employees!A:Q,4,0),""))</f>
        <v/>
      </c>
      <c r="E40" s="17" t="str">
        <f>IF(IF(A40&lt;&gt;"",VLOOKUP(A40,Employees!A:Q,5,0),"")="NULL","",IF(A40&lt;&gt;"",VLOOKUP(A40,Employees!A:Q,5,0),""))</f>
        <v/>
      </c>
      <c r="F40" t="str">
        <f>IF(IF(A40&lt;&gt;"",VLOOKUP(A40,Employees!A:Q,9,0),"")="NULL","",IF(A40&lt;&gt;"",VLOOKUP(A40,Employees!A:Q,9,0),""))</f>
        <v/>
      </c>
      <c r="G40" t="str">
        <f>IF(IF(A40&lt;&gt;"",VLOOKUP(A40,Employees!A:Q,10,0),"")="NULL","",IF(A40&lt;&gt;"",VLOOKUP(A40,Employees!A:Q,10,0),""))</f>
        <v/>
      </c>
      <c r="H40" t="str">
        <f>IF(IF(A40&lt;&gt;"",VLOOKUP(A40,Employees!A:Q,11,0),"")="NULL","",IF(A40&lt;&gt;"",VLOOKUP(A40,Employees!A:Q,11,0),""))</f>
        <v/>
      </c>
      <c r="I40" s="25" t="str">
        <f>IFERROR(VALUE(IF(IF(A40&lt;&gt;"",VLOOKUP(A40,Employees!A:Q,12,0),"")="NULL","",IF(A40&lt;&gt;"",VLOOKUP(A40,Employees!A:Q,12,0),""))),"")</f>
        <v/>
      </c>
      <c r="J40" t="str">
        <f>IF(IF(A40&lt;&gt;"",VLOOKUP(A40,Employees!A:Q,14,0),"")="NULL","",IF(A40&lt;&gt;"",VLOOKUP(A40,Employees!A:Q,14,0),""))</f>
        <v/>
      </c>
    </row>
    <row r="41" spans="2:10" x14ac:dyDescent="0.25">
      <c r="B41" t="str">
        <f>IF(A41&lt;&gt;"",VLOOKUP(A41,Employees!A:Q,2,0),"")</f>
        <v/>
      </c>
      <c r="C41" t="str">
        <f>IF(A41&lt;&gt;"",VLOOKUP(A41,Employees!A:Q,3,0),"")</f>
        <v/>
      </c>
      <c r="D41" s="17" t="str">
        <f>IF(IF(A41&lt;&gt;"",VLOOKUP(A41,Employees!A:Q,4,0),"")="NULL","",IF(A41&lt;&gt;"",VLOOKUP(A41,Employees!A:Q,4,0),""))</f>
        <v/>
      </c>
      <c r="E41" s="17" t="str">
        <f>IF(IF(A41&lt;&gt;"",VLOOKUP(A41,Employees!A:Q,5,0),"")="NULL","",IF(A41&lt;&gt;"",VLOOKUP(A41,Employees!A:Q,5,0),""))</f>
        <v/>
      </c>
      <c r="F41" t="str">
        <f>IF(IF(A41&lt;&gt;"",VLOOKUP(A41,Employees!A:Q,9,0),"")="NULL","",IF(A41&lt;&gt;"",VLOOKUP(A41,Employees!A:Q,9,0),""))</f>
        <v/>
      </c>
      <c r="G41" t="str">
        <f>IF(IF(A41&lt;&gt;"",VLOOKUP(A41,Employees!A:Q,10,0),"")="NULL","",IF(A41&lt;&gt;"",VLOOKUP(A41,Employees!A:Q,10,0),""))</f>
        <v/>
      </c>
      <c r="H41" t="str">
        <f>IF(IF(A41&lt;&gt;"",VLOOKUP(A41,Employees!A:Q,11,0),"")="NULL","",IF(A41&lt;&gt;"",VLOOKUP(A41,Employees!A:Q,11,0),""))</f>
        <v/>
      </c>
      <c r="I41" s="25" t="str">
        <f>IFERROR(VALUE(IF(IF(A41&lt;&gt;"",VLOOKUP(A41,Employees!A:Q,12,0),"")="NULL","",IF(A41&lt;&gt;"",VLOOKUP(A41,Employees!A:Q,12,0),""))),"")</f>
        <v/>
      </c>
      <c r="J41" t="str">
        <f>IF(IF(A41&lt;&gt;"",VLOOKUP(A41,Employees!A:Q,14,0),"")="NULL","",IF(A41&lt;&gt;"",VLOOKUP(A41,Employees!A:Q,14,0),""))</f>
        <v/>
      </c>
    </row>
    <row r="42" spans="2:10" x14ac:dyDescent="0.25">
      <c r="B42" t="str">
        <f>IF(A42&lt;&gt;"",VLOOKUP(A42,Employees!A:Q,2,0),"")</f>
        <v/>
      </c>
      <c r="C42" t="str">
        <f>IF(A42&lt;&gt;"",VLOOKUP(A42,Employees!A:Q,3,0),"")</f>
        <v/>
      </c>
      <c r="D42" s="17" t="str">
        <f>IF(IF(A42&lt;&gt;"",VLOOKUP(A42,Employees!A:Q,4,0),"")="NULL","",IF(A42&lt;&gt;"",VLOOKUP(A42,Employees!A:Q,4,0),""))</f>
        <v/>
      </c>
      <c r="E42" s="17" t="str">
        <f>IF(IF(A42&lt;&gt;"",VLOOKUP(A42,Employees!A:Q,5,0),"")="NULL","",IF(A42&lt;&gt;"",VLOOKUP(A42,Employees!A:Q,5,0),""))</f>
        <v/>
      </c>
      <c r="F42" t="str">
        <f>IF(IF(A42&lt;&gt;"",VLOOKUP(A42,Employees!A:Q,9,0),"")="NULL","",IF(A42&lt;&gt;"",VLOOKUP(A42,Employees!A:Q,9,0),""))</f>
        <v/>
      </c>
      <c r="G42" t="str">
        <f>IF(IF(A42&lt;&gt;"",VLOOKUP(A42,Employees!A:Q,10,0),"")="NULL","",IF(A42&lt;&gt;"",VLOOKUP(A42,Employees!A:Q,10,0),""))</f>
        <v/>
      </c>
      <c r="H42" t="str">
        <f>IF(IF(A42&lt;&gt;"",VLOOKUP(A42,Employees!A:Q,11,0),"")="NULL","",IF(A42&lt;&gt;"",VLOOKUP(A42,Employees!A:Q,11,0),""))</f>
        <v/>
      </c>
      <c r="I42" s="25" t="str">
        <f>IFERROR(VALUE(IF(IF(A42&lt;&gt;"",VLOOKUP(A42,Employees!A:Q,12,0),"")="NULL","",IF(A42&lt;&gt;"",VLOOKUP(A42,Employees!A:Q,12,0),""))),"")</f>
        <v/>
      </c>
      <c r="J42" t="str">
        <f>IF(IF(A42&lt;&gt;"",VLOOKUP(A42,Employees!A:Q,14,0),"")="NULL","",IF(A42&lt;&gt;"",VLOOKUP(A42,Employees!A:Q,14,0),""))</f>
        <v/>
      </c>
    </row>
    <row r="43" spans="2:10" x14ac:dyDescent="0.25">
      <c r="B43" t="str">
        <f>IF(A43&lt;&gt;"",VLOOKUP(A43,Employees!A:Q,2,0),"")</f>
        <v/>
      </c>
      <c r="C43" t="str">
        <f>IF(A43&lt;&gt;"",VLOOKUP(A43,Employees!A:Q,3,0),"")</f>
        <v/>
      </c>
      <c r="D43" s="17" t="str">
        <f>IF(IF(A43&lt;&gt;"",VLOOKUP(A43,Employees!A:Q,4,0),"")="NULL","",IF(A43&lt;&gt;"",VLOOKUP(A43,Employees!A:Q,4,0),""))</f>
        <v/>
      </c>
      <c r="E43" s="17" t="str">
        <f>IF(IF(A43&lt;&gt;"",VLOOKUP(A43,Employees!A:Q,5,0),"")="NULL","",IF(A43&lt;&gt;"",VLOOKUP(A43,Employees!A:Q,5,0),""))</f>
        <v/>
      </c>
      <c r="F43" t="str">
        <f>IF(IF(A43&lt;&gt;"",VLOOKUP(A43,Employees!A:Q,9,0),"")="NULL","",IF(A43&lt;&gt;"",VLOOKUP(A43,Employees!A:Q,9,0),""))</f>
        <v/>
      </c>
      <c r="G43" t="str">
        <f>IF(IF(A43&lt;&gt;"",VLOOKUP(A43,Employees!A:Q,10,0),"")="NULL","",IF(A43&lt;&gt;"",VLOOKUP(A43,Employees!A:Q,10,0),""))</f>
        <v/>
      </c>
      <c r="H43" t="str">
        <f>IF(IF(A43&lt;&gt;"",VLOOKUP(A43,Employees!A:Q,11,0),"")="NULL","",IF(A43&lt;&gt;"",VLOOKUP(A43,Employees!A:Q,11,0),""))</f>
        <v/>
      </c>
      <c r="I43" s="25" t="str">
        <f>IFERROR(VALUE(IF(IF(A43&lt;&gt;"",VLOOKUP(A43,Employees!A:Q,12,0),"")="NULL","",IF(A43&lt;&gt;"",VLOOKUP(A43,Employees!A:Q,12,0),""))),"")</f>
        <v/>
      </c>
      <c r="J43" t="str">
        <f>IF(IF(A43&lt;&gt;"",VLOOKUP(A43,Employees!A:Q,14,0),"")="NULL","",IF(A43&lt;&gt;"",VLOOKUP(A43,Employees!A:Q,14,0),""))</f>
        <v/>
      </c>
    </row>
    <row r="44" spans="2:10" x14ac:dyDescent="0.25">
      <c r="B44" t="str">
        <f>IF(A44&lt;&gt;"",VLOOKUP(A44,Employees!A:Q,2,0),"")</f>
        <v/>
      </c>
      <c r="C44" t="str">
        <f>IF(A44&lt;&gt;"",VLOOKUP(A44,Employees!A:Q,3,0),"")</f>
        <v/>
      </c>
      <c r="D44" s="17" t="str">
        <f>IF(IF(A44&lt;&gt;"",VLOOKUP(A44,Employees!A:Q,4,0),"")="NULL","",IF(A44&lt;&gt;"",VLOOKUP(A44,Employees!A:Q,4,0),""))</f>
        <v/>
      </c>
      <c r="E44" s="17" t="str">
        <f>IF(IF(A44&lt;&gt;"",VLOOKUP(A44,Employees!A:Q,5,0),"")="NULL","",IF(A44&lt;&gt;"",VLOOKUP(A44,Employees!A:Q,5,0),""))</f>
        <v/>
      </c>
      <c r="F44" t="str">
        <f>IF(IF(A44&lt;&gt;"",VLOOKUP(A44,Employees!A:Q,9,0),"")="NULL","",IF(A44&lt;&gt;"",VLOOKUP(A44,Employees!A:Q,9,0),""))</f>
        <v/>
      </c>
      <c r="G44" t="str">
        <f>IF(IF(A44&lt;&gt;"",VLOOKUP(A44,Employees!A:Q,10,0),"")="NULL","",IF(A44&lt;&gt;"",VLOOKUP(A44,Employees!A:Q,10,0),""))</f>
        <v/>
      </c>
      <c r="H44" t="str">
        <f>IF(IF(A44&lt;&gt;"",VLOOKUP(A44,Employees!A:Q,11,0),"")="NULL","",IF(A44&lt;&gt;"",VLOOKUP(A44,Employees!A:Q,11,0),""))</f>
        <v/>
      </c>
      <c r="I44" s="25" t="str">
        <f>IFERROR(VALUE(IF(IF(A44&lt;&gt;"",VLOOKUP(A44,Employees!A:Q,12,0),"")="NULL","",IF(A44&lt;&gt;"",VLOOKUP(A44,Employees!A:Q,12,0),""))),"")</f>
        <v/>
      </c>
      <c r="J44" t="str">
        <f>IF(IF(A44&lt;&gt;"",VLOOKUP(A44,Employees!A:Q,14,0),"")="NULL","",IF(A44&lt;&gt;"",VLOOKUP(A44,Employees!A:Q,14,0),""))</f>
        <v/>
      </c>
    </row>
    <row r="45" spans="2:10" x14ac:dyDescent="0.25">
      <c r="B45" t="str">
        <f>IF(A45&lt;&gt;"",VLOOKUP(A45,Employees!A:Q,2,0),"")</f>
        <v/>
      </c>
      <c r="C45" t="str">
        <f>IF(A45&lt;&gt;"",VLOOKUP(A45,Employees!A:Q,3,0),"")</f>
        <v/>
      </c>
      <c r="D45" s="17" t="str">
        <f>IF(IF(A45&lt;&gt;"",VLOOKUP(A45,Employees!A:Q,4,0),"")="NULL","",IF(A45&lt;&gt;"",VLOOKUP(A45,Employees!A:Q,4,0),""))</f>
        <v/>
      </c>
      <c r="E45" s="17" t="str">
        <f>IF(IF(A45&lt;&gt;"",VLOOKUP(A45,Employees!A:Q,5,0),"")="NULL","",IF(A45&lt;&gt;"",VLOOKUP(A45,Employees!A:Q,5,0),""))</f>
        <v/>
      </c>
      <c r="F45" t="str">
        <f>IF(IF(A45&lt;&gt;"",VLOOKUP(A45,Employees!A:Q,9,0),"")="NULL","",IF(A45&lt;&gt;"",VLOOKUP(A45,Employees!A:Q,9,0),""))</f>
        <v/>
      </c>
      <c r="G45" t="str">
        <f>IF(IF(A45&lt;&gt;"",VLOOKUP(A45,Employees!A:Q,10,0),"")="NULL","",IF(A45&lt;&gt;"",VLOOKUP(A45,Employees!A:Q,10,0),""))</f>
        <v/>
      </c>
      <c r="H45" t="str">
        <f>IF(IF(A45&lt;&gt;"",VLOOKUP(A45,Employees!A:Q,11,0),"")="NULL","",IF(A45&lt;&gt;"",VLOOKUP(A45,Employees!A:Q,11,0),""))</f>
        <v/>
      </c>
      <c r="I45" s="25" t="str">
        <f>IFERROR(VALUE(IF(IF(A45&lt;&gt;"",VLOOKUP(A45,Employees!A:Q,12,0),"")="NULL","",IF(A45&lt;&gt;"",VLOOKUP(A45,Employees!A:Q,12,0),""))),"")</f>
        <v/>
      </c>
      <c r="J45" t="str">
        <f>IF(IF(A45&lt;&gt;"",VLOOKUP(A45,Employees!A:Q,14,0),"")="NULL","",IF(A45&lt;&gt;"",VLOOKUP(A45,Employees!A:Q,14,0),""))</f>
        <v/>
      </c>
    </row>
    <row r="46" spans="2:10" x14ac:dyDescent="0.25">
      <c r="B46" t="str">
        <f>IF(A46&lt;&gt;"",VLOOKUP(A46,Employees!A:Q,2,0),"")</f>
        <v/>
      </c>
      <c r="C46" t="str">
        <f>IF(A46&lt;&gt;"",VLOOKUP(A46,Employees!A:Q,3,0),"")</f>
        <v/>
      </c>
      <c r="D46" s="17" t="str">
        <f>IF(IF(A46&lt;&gt;"",VLOOKUP(A46,Employees!A:Q,4,0),"")="NULL","",IF(A46&lt;&gt;"",VLOOKUP(A46,Employees!A:Q,4,0),""))</f>
        <v/>
      </c>
      <c r="E46" s="17" t="str">
        <f>IF(IF(A46&lt;&gt;"",VLOOKUP(A46,Employees!A:Q,5,0),"")="NULL","",IF(A46&lt;&gt;"",VLOOKUP(A46,Employees!A:Q,5,0),""))</f>
        <v/>
      </c>
      <c r="F46" t="str">
        <f>IF(IF(A46&lt;&gt;"",VLOOKUP(A46,Employees!A:Q,9,0),"")="NULL","",IF(A46&lt;&gt;"",VLOOKUP(A46,Employees!A:Q,9,0),""))</f>
        <v/>
      </c>
      <c r="G46" t="str">
        <f>IF(IF(A46&lt;&gt;"",VLOOKUP(A46,Employees!A:Q,10,0),"")="NULL","",IF(A46&lt;&gt;"",VLOOKUP(A46,Employees!A:Q,10,0),""))</f>
        <v/>
      </c>
      <c r="H46" t="str">
        <f>IF(IF(A46&lt;&gt;"",VLOOKUP(A46,Employees!A:Q,11,0),"")="NULL","",IF(A46&lt;&gt;"",VLOOKUP(A46,Employees!A:Q,11,0),""))</f>
        <v/>
      </c>
      <c r="I46" s="25" t="str">
        <f>IFERROR(VALUE(IF(IF(A46&lt;&gt;"",VLOOKUP(A46,Employees!A:Q,12,0),"")="NULL","",IF(A46&lt;&gt;"",VLOOKUP(A46,Employees!A:Q,12,0),""))),"")</f>
        <v/>
      </c>
      <c r="J46" t="str">
        <f>IF(IF(A46&lt;&gt;"",VLOOKUP(A46,Employees!A:Q,14,0),"")="NULL","",IF(A46&lt;&gt;"",VLOOKUP(A46,Employees!A:Q,14,0),""))</f>
        <v/>
      </c>
    </row>
    <row r="47" spans="2:10" x14ac:dyDescent="0.25">
      <c r="B47" t="str">
        <f>IF(A47&lt;&gt;"",VLOOKUP(A47,Employees!A:Q,2,0),"")</f>
        <v/>
      </c>
      <c r="C47" t="str">
        <f>IF(A47&lt;&gt;"",VLOOKUP(A47,Employees!A:Q,3,0),"")</f>
        <v/>
      </c>
      <c r="D47" s="17" t="str">
        <f>IF(IF(A47&lt;&gt;"",VLOOKUP(A47,Employees!A:Q,4,0),"")="NULL","",IF(A47&lt;&gt;"",VLOOKUP(A47,Employees!A:Q,4,0),""))</f>
        <v/>
      </c>
      <c r="E47" s="17" t="str">
        <f>IF(IF(A47&lt;&gt;"",VLOOKUP(A47,Employees!A:Q,5,0),"")="NULL","",IF(A47&lt;&gt;"",VLOOKUP(A47,Employees!A:Q,5,0),""))</f>
        <v/>
      </c>
      <c r="F47" t="str">
        <f>IF(IF(A47&lt;&gt;"",VLOOKUP(A47,Employees!A:Q,9,0),"")="NULL","",IF(A47&lt;&gt;"",VLOOKUP(A47,Employees!A:Q,9,0),""))</f>
        <v/>
      </c>
      <c r="G47" t="str">
        <f>IF(IF(A47&lt;&gt;"",VLOOKUP(A47,Employees!A:Q,10,0),"")="NULL","",IF(A47&lt;&gt;"",VLOOKUP(A47,Employees!A:Q,10,0),""))</f>
        <v/>
      </c>
      <c r="H47" t="str">
        <f>IF(IF(A47&lt;&gt;"",VLOOKUP(A47,Employees!A:Q,11,0),"")="NULL","",IF(A47&lt;&gt;"",VLOOKUP(A47,Employees!A:Q,11,0),""))</f>
        <v/>
      </c>
      <c r="I47" s="25" t="str">
        <f>IFERROR(VALUE(IF(IF(A47&lt;&gt;"",VLOOKUP(A47,Employees!A:Q,12,0),"")="NULL","",IF(A47&lt;&gt;"",VLOOKUP(A47,Employees!A:Q,12,0),""))),"")</f>
        <v/>
      </c>
      <c r="J47" t="str">
        <f>IF(IF(A47&lt;&gt;"",VLOOKUP(A47,Employees!A:Q,14,0),"")="NULL","",IF(A47&lt;&gt;"",VLOOKUP(A47,Employees!A:Q,14,0),""))</f>
        <v/>
      </c>
    </row>
    <row r="48" spans="2:10" x14ac:dyDescent="0.25">
      <c r="B48" t="str">
        <f>IF(A48&lt;&gt;"",VLOOKUP(A48,Employees!A:Q,2,0),"")</f>
        <v/>
      </c>
      <c r="C48" t="str">
        <f>IF(A48&lt;&gt;"",VLOOKUP(A48,Employees!A:Q,3,0),"")</f>
        <v/>
      </c>
      <c r="D48" s="17" t="str">
        <f>IF(IF(A48&lt;&gt;"",VLOOKUP(A48,Employees!A:Q,4,0),"")="NULL","",IF(A48&lt;&gt;"",VLOOKUP(A48,Employees!A:Q,4,0),""))</f>
        <v/>
      </c>
      <c r="E48" s="17" t="str">
        <f>IF(IF(A48&lt;&gt;"",VLOOKUP(A48,Employees!A:Q,5,0),"")="NULL","",IF(A48&lt;&gt;"",VLOOKUP(A48,Employees!A:Q,5,0),""))</f>
        <v/>
      </c>
      <c r="F48" t="str">
        <f>IF(IF(A48&lt;&gt;"",VLOOKUP(A48,Employees!A:Q,9,0),"")="NULL","",IF(A48&lt;&gt;"",VLOOKUP(A48,Employees!A:Q,9,0),""))</f>
        <v/>
      </c>
      <c r="G48" t="str">
        <f>IF(IF(A48&lt;&gt;"",VLOOKUP(A48,Employees!A:Q,10,0),"")="NULL","",IF(A48&lt;&gt;"",VLOOKUP(A48,Employees!A:Q,10,0),""))</f>
        <v/>
      </c>
      <c r="H48" t="str">
        <f>IF(IF(A48&lt;&gt;"",VLOOKUP(A48,Employees!A:Q,11,0),"")="NULL","",IF(A48&lt;&gt;"",VLOOKUP(A48,Employees!A:Q,11,0),""))</f>
        <v/>
      </c>
      <c r="I48" s="25" t="str">
        <f>IFERROR(VALUE(IF(IF(A48&lt;&gt;"",VLOOKUP(A48,Employees!A:Q,12,0),"")="NULL","",IF(A48&lt;&gt;"",VLOOKUP(A48,Employees!A:Q,12,0),""))),"")</f>
        <v/>
      </c>
      <c r="J48" t="str">
        <f>IF(IF(A48&lt;&gt;"",VLOOKUP(A48,Employees!A:Q,14,0),"")="NULL","",IF(A48&lt;&gt;"",VLOOKUP(A48,Employees!A:Q,14,0),""))</f>
        <v/>
      </c>
    </row>
    <row r="49" spans="2:10" x14ac:dyDescent="0.25">
      <c r="B49" t="str">
        <f>IF(A49&lt;&gt;"",VLOOKUP(A49,Employees!A:Q,2,0),"")</f>
        <v/>
      </c>
      <c r="C49" t="str">
        <f>IF(A49&lt;&gt;"",VLOOKUP(A49,Employees!A:Q,3,0),"")</f>
        <v/>
      </c>
      <c r="D49" s="17" t="str">
        <f>IF(IF(A49&lt;&gt;"",VLOOKUP(A49,Employees!A:Q,4,0),"")="NULL","",IF(A49&lt;&gt;"",VLOOKUP(A49,Employees!A:Q,4,0),""))</f>
        <v/>
      </c>
      <c r="E49" s="17" t="str">
        <f>IF(IF(A49&lt;&gt;"",VLOOKUP(A49,Employees!A:Q,5,0),"")="NULL","",IF(A49&lt;&gt;"",VLOOKUP(A49,Employees!A:Q,5,0),""))</f>
        <v/>
      </c>
      <c r="F49" t="str">
        <f>IF(IF(A49&lt;&gt;"",VLOOKUP(A49,Employees!A:Q,9,0),"")="NULL","",IF(A49&lt;&gt;"",VLOOKUP(A49,Employees!A:Q,9,0),""))</f>
        <v/>
      </c>
      <c r="G49" t="str">
        <f>IF(IF(A49&lt;&gt;"",VLOOKUP(A49,Employees!A:Q,10,0),"")="NULL","",IF(A49&lt;&gt;"",VLOOKUP(A49,Employees!A:Q,10,0),""))</f>
        <v/>
      </c>
      <c r="H49" t="str">
        <f>IF(IF(A49&lt;&gt;"",VLOOKUP(A49,Employees!A:Q,11,0),"")="NULL","",IF(A49&lt;&gt;"",VLOOKUP(A49,Employees!A:Q,11,0),""))</f>
        <v/>
      </c>
      <c r="I49" s="25" t="str">
        <f>IFERROR(VALUE(IF(IF(A49&lt;&gt;"",VLOOKUP(A49,Employees!A:Q,12,0),"")="NULL","",IF(A49&lt;&gt;"",VLOOKUP(A49,Employees!A:Q,12,0),""))),"")</f>
        <v/>
      </c>
      <c r="J49" t="str">
        <f>IF(IF(A49&lt;&gt;"",VLOOKUP(A49,Employees!A:Q,14,0),"")="NULL","",IF(A49&lt;&gt;"",VLOOKUP(A49,Employees!A:Q,14,0),""))</f>
        <v/>
      </c>
    </row>
    <row r="50" spans="2:10" x14ac:dyDescent="0.25">
      <c r="B50" t="str">
        <f>IF(A50&lt;&gt;"",VLOOKUP(A50,Employees!A:Q,2,0),"")</f>
        <v/>
      </c>
      <c r="C50" t="str">
        <f>IF(A50&lt;&gt;"",VLOOKUP(A50,Employees!A:Q,3,0),"")</f>
        <v/>
      </c>
      <c r="D50" s="17" t="str">
        <f>IF(IF(A50&lt;&gt;"",VLOOKUP(A50,Employees!A:Q,4,0),"")="NULL","",IF(A50&lt;&gt;"",VLOOKUP(A50,Employees!A:Q,4,0),""))</f>
        <v/>
      </c>
      <c r="E50" s="17" t="str">
        <f>IF(IF(A50&lt;&gt;"",VLOOKUP(A50,Employees!A:Q,5,0),"")="NULL","",IF(A50&lt;&gt;"",VLOOKUP(A50,Employees!A:Q,5,0),""))</f>
        <v/>
      </c>
      <c r="F50" t="str">
        <f>IF(IF(A50&lt;&gt;"",VLOOKUP(A50,Employees!A:Q,9,0),"")="NULL","",IF(A50&lt;&gt;"",VLOOKUP(A50,Employees!A:Q,9,0),""))</f>
        <v/>
      </c>
      <c r="G50" t="str">
        <f>IF(IF(A50&lt;&gt;"",VLOOKUP(A50,Employees!A:Q,10,0),"")="NULL","",IF(A50&lt;&gt;"",VLOOKUP(A50,Employees!A:Q,10,0),""))</f>
        <v/>
      </c>
      <c r="H50" t="str">
        <f>IF(IF(A50&lt;&gt;"",VLOOKUP(A50,Employees!A:Q,11,0),"")="NULL","",IF(A50&lt;&gt;"",VLOOKUP(A50,Employees!A:Q,11,0),""))</f>
        <v/>
      </c>
      <c r="I50" s="25" t="str">
        <f>IFERROR(VALUE(IF(IF(A50&lt;&gt;"",VLOOKUP(A50,Employees!A:Q,12,0),"")="NULL","",IF(A50&lt;&gt;"",VLOOKUP(A50,Employees!A:Q,12,0),""))),"")</f>
        <v/>
      </c>
      <c r="J50" t="str">
        <f>IF(IF(A50&lt;&gt;"",VLOOKUP(A50,Employees!A:Q,14,0),"")="NULL","",IF(A50&lt;&gt;"",VLOOKUP(A50,Employees!A:Q,14,0),""))</f>
        <v/>
      </c>
    </row>
    <row r="51" spans="2:10" x14ac:dyDescent="0.25">
      <c r="B51" t="str">
        <f>IF(A51&lt;&gt;"",VLOOKUP(A51,Employees!A:Q,2,0),"")</f>
        <v/>
      </c>
      <c r="C51" t="str">
        <f>IF(A51&lt;&gt;"",VLOOKUP(A51,Employees!A:Q,3,0),"")</f>
        <v/>
      </c>
      <c r="D51" s="17" t="str">
        <f>IF(IF(A51&lt;&gt;"",VLOOKUP(A51,Employees!A:Q,4,0),"")="NULL","",IF(A51&lt;&gt;"",VLOOKUP(A51,Employees!A:Q,4,0),""))</f>
        <v/>
      </c>
      <c r="E51" s="17" t="str">
        <f>IF(IF(A51&lt;&gt;"",VLOOKUP(A51,Employees!A:Q,5,0),"")="NULL","",IF(A51&lt;&gt;"",VLOOKUP(A51,Employees!A:Q,5,0),""))</f>
        <v/>
      </c>
      <c r="F51" t="str">
        <f>IF(IF(A51&lt;&gt;"",VLOOKUP(A51,Employees!A:Q,9,0),"")="NULL","",IF(A51&lt;&gt;"",VLOOKUP(A51,Employees!A:Q,9,0),""))</f>
        <v/>
      </c>
      <c r="G51" t="str">
        <f>IF(IF(A51&lt;&gt;"",VLOOKUP(A51,Employees!A:Q,10,0),"")="NULL","",IF(A51&lt;&gt;"",VLOOKUP(A51,Employees!A:Q,10,0),""))</f>
        <v/>
      </c>
      <c r="H51" t="str">
        <f>IF(IF(A51&lt;&gt;"",VLOOKUP(A51,Employees!A:Q,11,0),"")="NULL","",IF(A51&lt;&gt;"",VLOOKUP(A51,Employees!A:Q,11,0),""))</f>
        <v/>
      </c>
      <c r="I51" s="25" t="str">
        <f>IFERROR(VALUE(IF(IF(A51&lt;&gt;"",VLOOKUP(A51,Employees!A:Q,12,0),"")="NULL","",IF(A51&lt;&gt;"",VLOOKUP(A51,Employees!A:Q,12,0),""))),"")</f>
        <v/>
      </c>
      <c r="J51" t="str">
        <f>IF(IF(A51&lt;&gt;"",VLOOKUP(A51,Employees!A:Q,14,0),"")="NULL","",IF(A51&lt;&gt;"",VLOOKUP(A51,Employees!A:Q,14,0),""))</f>
        <v/>
      </c>
    </row>
    <row r="52" spans="2:10" x14ac:dyDescent="0.25">
      <c r="B52" t="str">
        <f>IF(A52&lt;&gt;"",VLOOKUP(A52,Employees!A:Q,2,0),"")</f>
        <v/>
      </c>
      <c r="C52" t="str">
        <f>IF(A52&lt;&gt;"",VLOOKUP(A52,Employees!A:Q,3,0),"")</f>
        <v/>
      </c>
      <c r="D52" s="17" t="str">
        <f>IF(IF(A52&lt;&gt;"",VLOOKUP(A52,Employees!A:Q,4,0),"")="NULL","",IF(A52&lt;&gt;"",VLOOKUP(A52,Employees!A:Q,4,0),""))</f>
        <v/>
      </c>
      <c r="E52" s="17" t="str">
        <f>IF(IF(A52&lt;&gt;"",VLOOKUP(A52,Employees!A:Q,5,0),"")="NULL","",IF(A52&lt;&gt;"",VLOOKUP(A52,Employees!A:Q,5,0),""))</f>
        <v/>
      </c>
      <c r="F52" t="str">
        <f>IF(IF(A52&lt;&gt;"",VLOOKUP(A52,Employees!A:Q,9,0),"")="NULL","",IF(A52&lt;&gt;"",VLOOKUP(A52,Employees!A:Q,9,0),""))</f>
        <v/>
      </c>
      <c r="G52" t="str">
        <f>IF(IF(A52&lt;&gt;"",VLOOKUP(A52,Employees!A:Q,10,0),"")="NULL","",IF(A52&lt;&gt;"",VLOOKUP(A52,Employees!A:Q,10,0),""))</f>
        <v/>
      </c>
      <c r="H52" t="str">
        <f>IF(IF(A52&lt;&gt;"",VLOOKUP(A52,Employees!A:Q,11,0),"")="NULL","",IF(A52&lt;&gt;"",VLOOKUP(A52,Employees!A:Q,11,0),""))</f>
        <v/>
      </c>
      <c r="I52" s="25" t="str">
        <f>IFERROR(VALUE(IF(IF(A52&lt;&gt;"",VLOOKUP(A52,Employees!A:Q,12,0),"")="NULL","",IF(A52&lt;&gt;"",VLOOKUP(A52,Employees!A:Q,12,0),""))),"")</f>
        <v/>
      </c>
      <c r="J52" t="str">
        <f>IF(IF(A52&lt;&gt;"",VLOOKUP(A52,Employees!A:Q,14,0),"")="NULL","",IF(A52&lt;&gt;"",VLOOKUP(A52,Employees!A:Q,14,0),""))</f>
        <v/>
      </c>
    </row>
    <row r="53" spans="2:10" x14ac:dyDescent="0.25">
      <c r="B53" t="str">
        <f>IF(A53&lt;&gt;"",VLOOKUP(A53,Employees!A:Q,2,0),"")</f>
        <v/>
      </c>
      <c r="C53" t="str">
        <f>IF(A53&lt;&gt;"",VLOOKUP(A53,Employees!A:Q,3,0),"")</f>
        <v/>
      </c>
      <c r="D53" s="17" t="str">
        <f>IF(IF(A53&lt;&gt;"",VLOOKUP(A53,Employees!A:Q,4,0),"")="NULL","",IF(A53&lt;&gt;"",VLOOKUP(A53,Employees!A:Q,4,0),""))</f>
        <v/>
      </c>
      <c r="E53" s="17" t="str">
        <f>IF(IF(A53&lt;&gt;"",VLOOKUP(A53,Employees!A:Q,5,0),"")="NULL","",IF(A53&lt;&gt;"",VLOOKUP(A53,Employees!A:Q,5,0),""))</f>
        <v/>
      </c>
      <c r="F53" t="str">
        <f>IF(IF(A53&lt;&gt;"",VLOOKUP(A53,Employees!A:Q,9,0),"")="NULL","",IF(A53&lt;&gt;"",VLOOKUP(A53,Employees!A:Q,9,0),""))</f>
        <v/>
      </c>
      <c r="G53" t="str">
        <f>IF(IF(A53&lt;&gt;"",VLOOKUP(A53,Employees!A:Q,10,0),"")="NULL","",IF(A53&lt;&gt;"",VLOOKUP(A53,Employees!A:Q,10,0),""))</f>
        <v/>
      </c>
      <c r="H53" t="str">
        <f>IF(IF(A53&lt;&gt;"",VLOOKUP(A53,Employees!A:Q,11,0),"")="NULL","",IF(A53&lt;&gt;"",VLOOKUP(A53,Employees!A:Q,11,0),""))</f>
        <v/>
      </c>
      <c r="I53" s="25" t="str">
        <f>IFERROR(VALUE(IF(IF(A53&lt;&gt;"",VLOOKUP(A53,Employees!A:Q,12,0),"")="NULL","",IF(A53&lt;&gt;"",VLOOKUP(A53,Employees!A:Q,12,0),""))),"")</f>
        <v/>
      </c>
      <c r="J53" t="str">
        <f>IF(IF(A53&lt;&gt;"",VLOOKUP(A53,Employees!A:Q,14,0),"")="NULL","",IF(A53&lt;&gt;"",VLOOKUP(A53,Employees!A:Q,14,0),""))</f>
        <v/>
      </c>
    </row>
    <row r="54" spans="2:10" x14ac:dyDescent="0.25">
      <c r="B54" t="str">
        <f>IF(A54&lt;&gt;"",VLOOKUP(A54,Employees!A:Q,2,0),"")</f>
        <v/>
      </c>
      <c r="C54" t="str">
        <f>IF(A54&lt;&gt;"",VLOOKUP(A54,Employees!A:Q,3,0),"")</f>
        <v/>
      </c>
      <c r="D54" s="17" t="str">
        <f>IF(IF(A54&lt;&gt;"",VLOOKUP(A54,Employees!A:Q,4,0),"")="NULL","",IF(A54&lt;&gt;"",VLOOKUP(A54,Employees!A:Q,4,0),""))</f>
        <v/>
      </c>
      <c r="E54" s="17" t="str">
        <f>IF(IF(A54&lt;&gt;"",VLOOKUP(A54,Employees!A:Q,5,0),"")="NULL","",IF(A54&lt;&gt;"",VLOOKUP(A54,Employees!A:Q,5,0),""))</f>
        <v/>
      </c>
      <c r="F54" t="str">
        <f>IF(IF(A54&lt;&gt;"",VLOOKUP(A54,Employees!A:Q,9,0),"")="NULL","",IF(A54&lt;&gt;"",VLOOKUP(A54,Employees!A:Q,9,0),""))</f>
        <v/>
      </c>
      <c r="G54" t="str">
        <f>IF(IF(A54&lt;&gt;"",VLOOKUP(A54,Employees!A:Q,10,0),"")="NULL","",IF(A54&lt;&gt;"",VLOOKUP(A54,Employees!A:Q,10,0),""))</f>
        <v/>
      </c>
      <c r="H54" t="str">
        <f>IF(IF(A54&lt;&gt;"",VLOOKUP(A54,Employees!A:Q,11,0),"")="NULL","",IF(A54&lt;&gt;"",VLOOKUP(A54,Employees!A:Q,11,0),""))</f>
        <v/>
      </c>
      <c r="I54" s="25" t="str">
        <f>IFERROR(VALUE(IF(IF(A54&lt;&gt;"",VLOOKUP(A54,Employees!A:Q,12,0),"")="NULL","",IF(A54&lt;&gt;"",VLOOKUP(A54,Employees!A:Q,12,0),""))),"")</f>
        <v/>
      </c>
      <c r="J54" t="str">
        <f>IF(IF(A54&lt;&gt;"",VLOOKUP(A54,Employees!A:Q,14,0),"")="NULL","",IF(A54&lt;&gt;"",VLOOKUP(A54,Employees!A:Q,14,0),""))</f>
        <v/>
      </c>
    </row>
    <row r="55" spans="2:10" x14ac:dyDescent="0.25">
      <c r="B55" t="str">
        <f>IF(A55&lt;&gt;"",VLOOKUP(A55,Employees!A:Q,2,0),"")</f>
        <v/>
      </c>
      <c r="C55" t="str">
        <f>IF(A55&lt;&gt;"",VLOOKUP(A55,Employees!A:Q,3,0),"")</f>
        <v/>
      </c>
      <c r="D55" s="17" t="str">
        <f>IF(IF(A55&lt;&gt;"",VLOOKUP(A55,Employees!A:Q,4,0),"")="NULL","",IF(A55&lt;&gt;"",VLOOKUP(A55,Employees!A:Q,4,0),""))</f>
        <v/>
      </c>
      <c r="E55" s="17" t="str">
        <f>IF(IF(A55&lt;&gt;"",VLOOKUP(A55,Employees!A:Q,5,0),"")="NULL","",IF(A55&lt;&gt;"",VLOOKUP(A55,Employees!A:Q,5,0),""))</f>
        <v/>
      </c>
      <c r="F55" t="str">
        <f>IF(IF(A55&lt;&gt;"",VLOOKUP(A55,Employees!A:Q,9,0),"")="NULL","",IF(A55&lt;&gt;"",VLOOKUP(A55,Employees!A:Q,9,0),""))</f>
        <v/>
      </c>
      <c r="G55" t="str">
        <f>IF(IF(A55&lt;&gt;"",VLOOKUP(A55,Employees!A:Q,10,0),"")="NULL","",IF(A55&lt;&gt;"",VLOOKUP(A55,Employees!A:Q,10,0),""))</f>
        <v/>
      </c>
      <c r="H55" t="str">
        <f>IF(IF(A55&lt;&gt;"",VLOOKUP(A55,Employees!A:Q,11,0),"")="NULL","",IF(A55&lt;&gt;"",VLOOKUP(A55,Employees!A:Q,11,0),""))</f>
        <v/>
      </c>
      <c r="I55" s="25" t="str">
        <f>IFERROR(VALUE(IF(IF(A55&lt;&gt;"",VLOOKUP(A55,Employees!A:Q,12,0),"")="NULL","",IF(A55&lt;&gt;"",VLOOKUP(A55,Employees!A:Q,12,0),""))),"")</f>
        <v/>
      </c>
      <c r="J55" t="str">
        <f>IF(IF(A55&lt;&gt;"",VLOOKUP(A55,Employees!A:Q,14,0),"")="NULL","",IF(A55&lt;&gt;"",VLOOKUP(A55,Employees!A:Q,14,0),""))</f>
        <v/>
      </c>
    </row>
    <row r="56" spans="2:10" x14ac:dyDescent="0.25">
      <c r="B56" t="str">
        <f>IF(A56&lt;&gt;"",VLOOKUP(A56,Employees!A:Q,2,0),"")</f>
        <v/>
      </c>
      <c r="C56" t="str">
        <f>IF(A56&lt;&gt;"",VLOOKUP(A56,Employees!A:Q,3,0),"")</f>
        <v/>
      </c>
      <c r="D56" s="17" t="str">
        <f>IF(IF(A56&lt;&gt;"",VLOOKUP(A56,Employees!A:Q,4,0),"")="NULL","",IF(A56&lt;&gt;"",VLOOKUP(A56,Employees!A:Q,4,0),""))</f>
        <v/>
      </c>
      <c r="E56" s="17" t="str">
        <f>IF(IF(A56&lt;&gt;"",VLOOKUP(A56,Employees!A:Q,5,0),"")="NULL","",IF(A56&lt;&gt;"",VLOOKUP(A56,Employees!A:Q,5,0),""))</f>
        <v/>
      </c>
      <c r="F56" t="str">
        <f>IF(IF(A56&lt;&gt;"",VLOOKUP(A56,Employees!A:Q,9,0),"")="NULL","",IF(A56&lt;&gt;"",VLOOKUP(A56,Employees!A:Q,9,0),""))</f>
        <v/>
      </c>
      <c r="G56" t="str">
        <f>IF(IF(A56&lt;&gt;"",VLOOKUP(A56,Employees!A:Q,10,0),"")="NULL","",IF(A56&lt;&gt;"",VLOOKUP(A56,Employees!A:Q,10,0),""))</f>
        <v/>
      </c>
      <c r="H56" t="str">
        <f>IF(IF(A56&lt;&gt;"",VLOOKUP(A56,Employees!A:Q,11,0),"")="NULL","",IF(A56&lt;&gt;"",VLOOKUP(A56,Employees!A:Q,11,0),""))</f>
        <v/>
      </c>
      <c r="I56" s="25" t="str">
        <f>IFERROR(VALUE(IF(IF(A56&lt;&gt;"",VLOOKUP(A56,Employees!A:Q,12,0),"")="NULL","",IF(A56&lt;&gt;"",VLOOKUP(A56,Employees!A:Q,12,0),""))),"")</f>
        <v/>
      </c>
      <c r="J56" t="str">
        <f>IF(IF(A56&lt;&gt;"",VLOOKUP(A56,Employees!A:Q,14,0),"")="NULL","",IF(A56&lt;&gt;"",VLOOKUP(A56,Employees!A:Q,14,0),""))</f>
        <v/>
      </c>
    </row>
    <row r="57" spans="2:10" x14ac:dyDescent="0.25">
      <c r="B57" t="str">
        <f>IF(A57&lt;&gt;"",VLOOKUP(A57,Employees!A:Q,2,0),"")</f>
        <v/>
      </c>
      <c r="C57" t="str">
        <f>IF(A57&lt;&gt;"",VLOOKUP(A57,Employees!A:Q,3,0),"")</f>
        <v/>
      </c>
      <c r="D57" s="17" t="str">
        <f>IF(IF(A57&lt;&gt;"",VLOOKUP(A57,Employees!A:Q,4,0),"")="NULL","",IF(A57&lt;&gt;"",VLOOKUP(A57,Employees!A:Q,4,0),""))</f>
        <v/>
      </c>
      <c r="E57" s="17" t="str">
        <f>IF(IF(A57&lt;&gt;"",VLOOKUP(A57,Employees!A:Q,5,0),"")="NULL","",IF(A57&lt;&gt;"",VLOOKUP(A57,Employees!A:Q,5,0),""))</f>
        <v/>
      </c>
      <c r="F57" t="str">
        <f>IF(IF(A57&lt;&gt;"",VLOOKUP(A57,Employees!A:Q,9,0),"")="NULL","",IF(A57&lt;&gt;"",VLOOKUP(A57,Employees!A:Q,9,0),""))</f>
        <v/>
      </c>
      <c r="G57" t="str">
        <f>IF(IF(A57&lt;&gt;"",VLOOKUP(A57,Employees!A:Q,10,0),"")="NULL","",IF(A57&lt;&gt;"",VLOOKUP(A57,Employees!A:Q,10,0),""))</f>
        <v/>
      </c>
      <c r="H57" t="str">
        <f>IF(IF(A57&lt;&gt;"",VLOOKUP(A57,Employees!A:Q,11,0),"")="NULL","",IF(A57&lt;&gt;"",VLOOKUP(A57,Employees!A:Q,11,0),""))</f>
        <v/>
      </c>
      <c r="I57" s="25" t="str">
        <f>IFERROR(VALUE(IF(IF(A57&lt;&gt;"",VLOOKUP(A57,Employees!A:Q,12,0),"")="NULL","",IF(A57&lt;&gt;"",VLOOKUP(A57,Employees!A:Q,12,0),""))),"")</f>
        <v/>
      </c>
      <c r="J57" t="str">
        <f>IF(IF(A57&lt;&gt;"",VLOOKUP(A57,Employees!A:Q,14,0),"")="NULL","",IF(A57&lt;&gt;"",VLOOKUP(A57,Employees!A:Q,14,0),""))</f>
        <v/>
      </c>
    </row>
    <row r="58" spans="2:10" x14ac:dyDescent="0.25">
      <c r="B58" t="str">
        <f>IF(A58&lt;&gt;"",VLOOKUP(A58,Employees!A:Q,2,0),"")</f>
        <v/>
      </c>
      <c r="C58" t="str">
        <f>IF(A58&lt;&gt;"",VLOOKUP(A58,Employees!A:Q,3,0),"")</f>
        <v/>
      </c>
      <c r="D58" s="17" t="str">
        <f>IF(IF(A58&lt;&gt;"",VLOOKUP(A58,Employees!A:Q,4,0),"")="NULL","",IF(A58&lt;&gt;"",VLOOKUP(A58,Employees!A:Q,4,0),""))</f>
        <v/>
      </c>
      <c r="E58" s="17" t="str">
        <f>IF(IF(A58&lt;&gt;"",VLOOKUP(A58,Employees!A:Q,5,0),"")="NULL","",IF(A58&lt;&gt;"",VLOOKUP(A58,Employees!A:Q,5,0),""))</f>
        <v/>
      </c>
      <c r="F58" t="str">
        <f>IF(IF(A58&lt;&gt;"",VLOOKUP(A58,Employees!A:Q,9,0),"")="NULL","",IF(A58&lt;&gt;"",VLOOKUP(A58,Employees!A:Q,9,0),""))</f>
        <v/>
      </c>
      <c r="G58" t="str">
        <f>IF(IF(A58&lt;&gt;"",VLOOKUP(A58,Employees!A:Q,10,0),"")="NULL","",IF(A58&lt;&gt;"",VLOOKUP(A58,Employees!A:Q,10,0),""))</f>
        <v/>
      </c>
      <c r="H58" t="str">
        <f>IF(IF(A58&lt;&gt;"",VLOOKUP(A58,Employees!A:Q,11,0),"")="NULL","",IF(A58&lt;&gt;"",VLOOKUP(A58,Employees!A:Q,11,0),""))</f>
        <v/>
      </c>
      <c r="I58" s="25" t="str">
        <f>IFERROR(VALUE(IF(IF(A58&lt;&gt;"",VLOOKUP(A58,Employees!A:Q,12,0),"")="NULL","",IF(A58&lt;&gt;"",VLOOKUP(A58,Employees!A:Q,12,0),""))),"")</f>
        <v/>
      </c>
      <c r="J58" t="str">
        <f>IF(IF(A58&lt;&gt;"",VLOOKUP(A58,Employees!A:Q,14,0),"")="NULL","",IF(A58&lt;&gt;"",VLOOKUP(A58,Employees!A:Q,14,0),""))</f>
        <v/>
      </c>
    </row>
    <row r="59" spans="2:10" x14ac:dyDescent="0.25">
      <c r="B59" t="str">
        <f>IF(A59&lt;&gt;"",VLOOKUP(A59,Employees!A:Q,2,0),"")</f>
        <v/>
      </c>
      <c r="C59" t="str">
        <f>IF(A59&lt;&gt;"",VLOOKUP(A59,Employees!A:Q,3,0),"")</f>
        <v/>
      </c>
      <c r="D59" s="17" t="str">
        <f>IF(IF(A59&lt;&gt;"",VLOOKUP(A59,Employees!A:Q,4,0),"")="NULL","",IF(A59&lt;&gt;"",VLOOKUP(A59,Employees!A:Q,4,0),""))</f>
        <v/>
      </c>
      <c r="E59" s="17" t="str">
        <f>IF(IF(A59&lt;&gt;"",VLOOKUP(A59,Employees!A:Q,5,0),"")="NULL","",IF(A59&lt;&gt;"",VLOOKUP(A59,Employees!A:Q,5,0),""))</f>
        <v/>
      </c>
      <c r="F59" t="str">
        <f>IF(IF(A59&lt;&gt;"",VLOOKUP(A59,Employees!A:Q,9,0),"")="NULL","",IF(A59&lt;&gt;"",VLOOKUP(A59,Employees!A:Q,9,0),""))</f>
        <v/>
      </c>
      <c r="G59" t="str">
        <f>IF(IF(A59&lt;&gt;"",VLOOKUP(A59,Employees!A:Q,10,0),"")="NULL","",IF(A59&lt;&gt;"",VLOOKUP(A59,Employees!A:Q,10,0),""))</f>
        <v/>
      </c>
      <c r="H59" t="str">
        <f>IF(IF(A59&lt;&gt;"",VLOOKUP(A59,Employees!A:Q,11,0),"")="NULL","",IF(A59&lt;&gt;"",VLOOKUP(A59,Employees!A:Q,11,0),""))</f>
        <v/>
      </c>
      <c r="I59" s="25" t="str">
        <f>IFERROR(VALUE(IF(IF(A59&lt;&gt;"",VLOOKUP(A59,Employees!A:Q,12,0),"")="NULL","",IF(A59&lt;&gt;"",VLOOKUP(A59,Employees!A:Q,12,0),""))),"")</f>
        <v/>
      </c>
      <c r="J59" t="str">
        <f>IF(IF(A59&lt;&gt;"",VLOOKUP(A59,Employees!A:Q,14,0),"")="NULL","",IF(A59&lt;&gt;"",VLOOKUP(A59,Employees!A:Q,14,0),""))</f>
        <v/>
      </c>
    </row>
    <row r="60" spans="2:10" x14ac:dyDescent="0.25">
      <c r="B60" t="str">
        <f>IF(A60&lt;&gt;"",VLOOKUP(A60,Employees!A:Q,2,0),"")</f>
        <v/>
      </c>
      <c r="C60" t="str">
        <f>IF(A60&lt;&gt;"",VLOOKUP(A60,Employees!A:Q,3,0),"")</f>
        <v/>
      </c>
      <c r="D60" s="17" t="str">
        <f>IF(IF(A60&lt;&gt;"",VLOOKUP(A60,Employees!A:Q,4,0),"")="NULL","",IF(A60&lt;&gt;"",VLOOKUP(A60,Employees!A:Q,4,0),""))</f>
        <v/>
      </c>
      <c r="E60" s="17" t="str">
        <f>IF(IF(A60&lt;&gt;"",VLOOKUP(A60,Employees!A:Q,5,0),"")="NULL","",IF(A60&lt;&gt;"",VLOOKUP(A60,Employees!A:Q,5,0),""))</f>
        <v/>
      </c>
      <c r="F60" t="str">
        <f>IF(IF(A60&lt;&gt;"",VLOOKUP(A60,Employees!A:Q,9,0),"")="NULL","",IF(A60&lt;&gt;"",VLOOKUP(A60,Employees!A:Q,9,0),""))</f>
        <v/>
      </c>
      <c r="G60" t="str">
        <f>IF(IF(A60&lt;&gt;"",VLOOKUP(A60,Employees!A:Q,10,0),"")="NULL","",IF(A60&lt;&gt;"",VLOOKUP(A60,Employees!A:Q,10,0),""))</f>
        <v/>
      </c>
      <c r="H60" t="str">
        <f>IF(IF(A60&lt;&gt;"",VLOOKUP(A60,Employees!A:Q,11,0),"")="NULL","",IF(A60&lt;&gt;"",VLOOKUP(A60,Employees!A:Q,11,0),""))</f>
        <v/>
      </c>
      <c r="I60" s="25" t="str">
        <f>IFERROR(VALUE(IF(IF(A60&lt;&gt;"",VLOOKUP(A60,Employees!A:Q,12,0),"")="NULL","",IF(A60&lt;&gt;"",VLOOKUP(A60,Employees!A:Q,12,0),""))),"")</f>
        <v/>
      </c>
      <c r="J60" t="str">
        <f>IF(IF(A60&lt;&gt;"",VLOOKUP(A60,Employees!A:Q,14,0),"")="NULL","",IF(A60&lt;&gt;"",VLOOKUP(A60,Employees!A:Q,14,0),""))</f>
        <v/>
      </c>
    </row>
    <row r="61" spans="2:10" x14ac:dyDescent="0.25">
      <c r="B61" t="str">
        <f>IF(A61&lt;&gt;"",VLOOKUP(A61,Employees!A:Q,2,0),"")</f>
        <v/>
      </c>
      <c r="C61" t="str">
        <f>IF(A61&lt;&gt;"",VLOOKUP(A61,Employees!A:Q,3,0),"")</f>
        <v/>
      </c>
      <c r="D61" s="17" t="str">
        <f>IF(IF(A61&lt;&gt;"",VLOOKUP(A61,Employees!A:Q,4,0),"")="NULL","",IF(A61&lt;&gt;"",VLOOKUP(A61,Employees!A:Q,4,0),""))</f>
        <v/>
      </c>
      <c r="E61" s="17" t="str">
        <f>IF(IF(A61&lt;&gt;"",VLOOKUP(A61,Employees!A:Q,5,0),"")="NULL","",IF(A61&lt;&gt;"",VLOOKUP(A61,Employees!A:Q,5,0),""))</f>
        <v/>
      </c>
      <c r="F61" t="str">
        <f>IF(IF(A61&lt;&gt;"",VLOOKUP(A61,Employees!A:Q,9,0),"")="NULL","",IF(A61&lt;&gt;"",VLOOKUP(A61,Employees!A:Q,9,0),""))</f>
        <v/>
      </c>
      <c r="G61" t="str">
        <f>IF(IF(A61&lt;&gt;"",VLOOKUP(A61,Employees!A:Q,10,0),"")="NULL","",IF(A61&lt;&gt;"",VLOOKUP(A61,Employees!A:Q,10,0),""))</f>
        <v/>
      </c>
      <c r="H61" t="str">
        <f>IF(IF(A61&lt;&gt;"",VLOOKUP(A61,Employees!A:Q,11,0),"")="NULL","",IF(A61&lt;&gt;"",VLOOKUP(A61,Employees!A:Q,11,0),""))</f>
        <v/>
      </c>
      <c r="I61" s="25" t="str">
        <f>IFERROR(VALUE(IF(IF(A61&lt;&gt;"",VLOOKUP(A61,Employees!A:Q,12,0),"")="NULL","",IF(A61&lt;&gt;"",VLOOKUP(A61,Employees!A:Q,12,0),""))),"")</f>
        <v/>
      </c>
      <c r="J61" t="str">
        <f>IF(IF(A61&lt;&gt;"",VLOOKUP(A61,Employees!A:Q,14,0),"")="NULL","",IF(A61&lt;&gt;"",VLOOKUP(A61,Employees!A:Q,14,0),""))</f>
        <v/>
      </c>
    </row>
    <row r="62" spans="2:10" x14ac:dyDescent="0.25">
      <c r="B62" t="str">
        <f>IF(A62&lt;&gt;"",VLOOKUP(A62,Employees!A:Q,2,0),"")</f>
        <v/>
      </c>
      <c r="C62" t="str">
        <f>IF(A62&lt;&gt;"",VLOOKUP(A62,Employees!A:Q,3,0),"")</f>
        <v/>
      </c>
      <c r="D62" s="17" t="str">
        <f>IF(IF(A62&lt;&gt;"",VLOOKUP(A62,Employees!A:Q,4,0),"")="NULL","",IF(A62&lt;&gt;"",VLOOKUP(A62,Employees!A:Q,4,0),""))</f>
        <v/>
      </c>
      <c r="E62" s="17" t="str">
        <f>IF(IF(A62&lt;&gt;"",VLOOKUP(A62,Employees!A:Q,5,0),"")="NULL","",IF(A62&lt;&gt;"",VLOOKUP(A62,Employees!A:Q,5,0),""))</f>
        <v/>
      </c>
      <c r="F62" t="str">
        <f>IF(IF(A62&lt;&gt;"",VLOOKUP(A62,Employees!A:Q,9,0),"")="NULL","",IF(A62&lt;&gt;"",VLOOKUP(A62,Employees!A:Q,9,0),""))</f>
        <v/>
      </c>
      <c r="G62" t="str">
        <f>IF(IF(A62&lt;&gt;"",VLOOKUP(A62,Employees!A:Q,10,0),"")="NULL","",IF(A62&lt;&gt;"",VLOOKUP(A62,Employees!A:Q,10,0),""))</f>
        <v/>
      </c>
      <c r="H62" t="str">
        <f>IF(IF(A62&lt;&gt;"",VLOOKUP(A62,Employees!A:Q,11,0),"")="NULL","",IF(A62&lt;&gt;"",VLOOKUP(A62,Employees!A:Q,11,0),""))</f>
        <v/>
      </c>
      <c r="I62" s="25" t="str">
        <f>IFERROR(VALUE(IF(IF(A62&lt;&gt;"",VLOOKUP(A62,Employees!A:Q,12,0),"")="NULL","",IF(A62&lt;&gt;"",VLOOKUP(A62,Employees!A:Q,12,0),""))),"")</f>
        <v/>
      </c>
      <c r="J62" t="str">
        <f>IF(IF(A62&lt;&gt;"",VLOOKUP(A62,Employees!A:Q,14,0),"")="NULL","",IF(A62&lt;&gt;"",VLOOKUP(A62,Employees!A:Q,14,0),""))</f>
        <v/>
      </c>
    </row>
    <row r="63" spans="2:10" x14ac:dyDescent="0.25">
      <c r="B63" t="str">
        <f>IF(A63&lt;&gt;"",VLOOKUP(A63,Employees!A:Q,2,0),"")</f>
        <v/>
      </c>
      <c r="C63" t="str">
        <f>IF(A63&lt;&gt;"",VLOOKUP(A63,Employees!A:Q,3,0),"")</f>
        <v/>
      </c>
      <c r="D63" s="17" t="str">
        <f>IF(IF(A63&lt;&gt;"",VLOOKUP(A63,Employees!A:Q,4,0),"")="NULL","",IF(A63&lt;&gt;"",VLOOKUP(A63,Employees!A:Q,4,0),""))</f>
        <v/>
      </c>
      <c r="E63" s="17" t="str">
        <f>IF(IF(A63&lt;&gt;"",VLOOKUP(A63,Employees!A:Q,5,0),"")="NULL","",IF(A63&lt;&gt;"",VLOOKUP(A63,Employees!A:Q,5,0),""))</f>
        <v/>
      </c>
      <c r="F63" t="str">
        <f>IF(IF(A63&lt;&gt;"",VLOOKUP(A63,Employees!A:Q,9,0),"")="NULL","",IF(A63&lt;&gt;"",VLOOKUP(A63,Employees!A:Q,9,0),""))</f>
        <v/>
      </c>
      <c r="G63" t="str">
        <f>IF(IF(A63&lt;&gt;"",VLOOKUP(A63,Employees!A:Q,10,0),"")="NULL","",IF(A63&lt;&gt;"",VLOOKUP(A63,Employees!A:Q,10,0),""))</f>
        <v/>
      </c>
      <c r="H63" t="str">
        <f>IF(IF(A63&lt;&gt;"",VLOOKUP(A63,Employees!A:Q,11,0),"")="NULL","",IF(A63&lt;&gt;"",VLOOKUP(A63,Employees!A:Q,11,0),""))</f>
        <v/>
      </c>
      <c r="I63" s="25" t="str">
        <f>IFERROR(VALUE(IF(IF(A63&lt;&gt;"",VLOOKUP(A63,Employees!A:Q,12,0),"")="NULL","",IF(A63&lt;&gt;"",VLOOKUP(A63,Employees!A:Q,12,0),""))),"")</f>
        <v/>
      </c>
      <c r="J63" t="str">
        <f>IF(IF(A63&lt;&gt;"",VLOOKUP(A63,Employees!A:Q,14,0),"")="NULL","",IF(A63&lt;&gt;"",VLOOKUP(A63,Employees!A:Q,14,0),""))</f>
        <v/>
      </c>
    </row>
    <row r="64" spans="2:10" x14ac:dyDescent="0.25">
      <c r="B64" t="str">
        <f>IF(A64&lt;&gt;"",VLOOKUP(A64,Employees!A:Q,2,0),"")</f>
        <v/>
      </c>
      <c r="C64" t="str">
        <f>IF(A64&lt;&gt;"",VLOOKUP(A64,Employees!A:Q,3,0),"")</f>
        <v/>
      </c>
      <c r="D64" s="17" t="str">
        <f>IF(IF(A64&lt;&gt;"",VLOOKUP(A64,Employees!A:Q,4,0),"")="NULL","",IF(A64&lt;&gt;"",VLOOKUP(A64,Employees!A:Q,4,0),""))</f>
        <v/>
      </c>
      <c r="E64" s="17" t="str">
        <f>IF(IF(A64&lt;&gt;"",VLOOKUP(A64,Employees!A:Q,5,0),"")="NULL","",IF(A64&lt;&gt;"",VLOOKUP(A64,Employees!A:Q,5,0),""))</f>
        <v/>
      </c>
      <c r="F64" t="str">
        <f>IF(IF(A64&lt;&gt;"",VLOOKUP(A64,Employees!A:Q,9,0),"")="NULL","",IF(A64&lt;&gt;"",VLOOKUP(A64,Employees!A:Q,9,0),""))</f>
        <v/>
      </c>
      <c r="G64" t="str">
        <f>IF(IF(A64&lt;&gt;"",VLOOKUP(A64,Employees!A:Q,10,0),"")="NULL","",IF(A64&lt;&gt;"",VLOOKUP(A64,Employees!A:Q,10,0),""))</f>
        <v/>
      </c>
      <c r="H64" t="str">
        <f>IF(IF(A64&lt;&gt;"",VLOOKUP(A64,Employees!A:Q,11,0),"")="NULL","",IF(A64&lt;&gt;"",VLOOKUP(A64,Employees!A:Q,11,0),""))</f>
        <v/>
      </c>
      <c r="I64" s="25" t="str">
        <f>IFERROR(VALUE(IF(IF(A64&lt;&gt;"",VLOOKUP(A64,Employees!A:Q,12,0),"")="NULL","",IF(A64&lt;&gt;"",VLOOKUP(A64,Employees!A:Q,12,0),""))),"")</f>
        <v/>
      </c>
      <c r="J64" t="str">
        <f>IF(IF(A64&lt;&gt;"",VLOOKUP(A64,Employees!A:Q,14,0),"")="NULL","",IF(A64&lt;&gt;"",VLOOKUP(A64,Employees!A:Q,14,0),""))</f>
        <v/>
      </c>
    </row>
    <row r="65" spans="2:10" x14ac:dyDescent="0.25">
      <c r="B65" t="str">
        <f>IF(A65&lt;&gt;"",VLOOKUP(A65,Employees!A:Q,2,0),"")</f>
        <v/>
      </c>
      <c r="C65" t="str">
        <f>IF(A65&lt;&gt;"",VLOOKUP(A65,Employees!A:Q,3,0),"")</f>
        <v/>
      </c>
      <c r="D65" s="17" t="str">
        <f>IF(IF(A65&lt;&gt;"",VLOOKUP(A65,Employees!A:Q,4,0),"")="NULL","",IF(A65&lt;&gt;"",VLOOKUP(A65,Employees!A:Q,4,0),""))</f>
        <v/>
      </c>
      <c r="E65" s="17" t="str">
        <f>IF(IF(A65&lt;&gt;"",VLOOKUP(A65,Employees!A:Q,5,0),"")="NULL","",IF(A65&lt;&gt;"",VLOOKUP(A65,Employees!A:Q,5,0),""))</f>
        <v/>
      </c>
      <c r="F65" t="str">
        <f>IF(IF(A65&lt;&gt;"",VLOOKUP(A65,Employees!A:Q,9,0),"")="NULL","",IF(A65&lt;&gt;"",VLOOKUP(A65,Employees!A:Q,9,0),""))</f>
        <v/>
      </c>
      <c r="G65" t="str">
        <f>IF(IF(A65&lt;&gt;"",VLOOKUP(A65,Employees!A:Q,10,0),"")="NULL","",IF(A65&lt;&gt;"",VLOOKUP(A65,Employees!A:Q,10,0),""))</f>
        <v/>
      </c>
      <c r="H65" t="str">
        <f>IF(IF(A65&lt;&gt;"",VLOOKUP(A65,Employees!A:Q,11,0),"")="NULL","",IF(A65&lt;&gt;"",VLOOKUP(A65,Employees!A:Q,11,0),""))</f>
        <v/>
      </c>
      <c r="I65" s="25" t="str">
        <f>IFERROR(VALUE(IF(IF(A65&lt;&gt;"",VLOOKUP(A65,Employees!A:Q,12,0),"")="NULL","",IF(A65&lt;&gt;"",VLOOKUP(A65,Employees!A:Q,12,0),""))),"")</f>
        <v/>
      </c>
      <c r="J65" t="str">
        <f>IF(IF(A65&lt;&gt;"",VLOOKUP(A65,Employees!A:Q,14,0),"")="NULL","",IF(A65&lt;&gt;"",VLOOKUP(A65,Employees!A:Q,14,0),""))</f>
        <v/>
      </c>
    </row>
    <row r="66" spans="2:10" x14ac:dyDescent="0.25">
      <c r="B66" t="str">
        <f>IF(A66&lt;&gt;"",VLOOKUP(A66,Employees!A:Q,2,0),"")</f>
        <v/>
      </c>
      <c r="C66" t="str">
        <f>IF(A66&lt;&gt;"",VLOOKUP(A66,Employees!A:Q,3,0),"")</f>
        <v/>
      </c>
      <c r="D66" s="17" t="str">
        <f>IF(IF(A66&lt;&gt;"",VLOOKUP(A66,Employees!A:Q,4,0),"")="NULL","",IF(A66&lt;&gt;"",VLOOKUP(A66,Employees!A:Q,4,0),""))</f>
        <v/>
      </c>
      <c r="E66" s="17" t="str">
        <f>IF(IF(A66&lt;&gt;"",VLOOKUP(A66,Employees!A:Q,5,0),"")="NULL","",IF(A66&lt;&gt;"",VLOOKUP(A66,Employees!A:Q,5,0),""))</f>
        <v/>
      </c>
      <c r="F66" t="str">
        <f>IF(IF(A66&lt;&gt;"",VLOOKUP(A66,Employees!A:Q,9,0),"")="NULL","",IF(A66&lt;&gt;"",VLOOKUP(A66,Employees!A:Q,9,0),""))</f>
        <v/>
      </c>
      <c r="G66" t="str">
        <f>IF(IF(A66&lt;&gt;"",VLOOKUP(A66,Employees!A:Q,10,0),"")="NULL","",IF(A66&lt;&gt;"",VLOOKUP(A66,Employees!A:Q,10,0),""))</f>
        <v/>
      </c>
      <c r="H66" t="str">
        <f>IF(IF(A66&lt;&gt;"",VLOOKUP(A66,Employees!A:Q,11,0),"")="NULL","",IF(A66&lt;&gt;"",VLOOKUP(A66,Employees!A:Q,11,0),""))</f>
        <v/>
      </c>
      <c r="I66" s="25" t="str">
        <f>IFERROR(VALUE(IF(IF(A66&lt;&gt;"",VLOOKUP(A66,Employees!A:Q,12,0),"")="NULL","",IF(A66&lt;&gt;"",VLOOKUP(A66,Employees!A:Q,12,0),""))),"")</f>
        <v/>
      </c>
      <c r="J66" t="str">
        <f>IF(IF(A66&lt;&gt;"",VLOOKUP(A66,Employees!A:Q,14,0),"")="NULL","",IF(A66&lt;&gt;"",VLOOKUP(A66,Employees!A:Q,14,0),""))</f>
        <v/>
      </c>
    </row>
    <row r="67" spans="2:10" x14ac:dyDescent="0.25">
      <c r="B67" t="str">
        <f>IF(A67&lt;&gt;"",VLOOKUP(A67,Employees!A:Q,2,0),"")</f>
        <v/>
      </c>
      <c r="C67" t="str">
        <f>IF(A67&lt;&gt;"",VLOOKUP(A67,Employees!A:Q,3,0),"")</f>
        <v/>
      </c>
      <c r="D67" s="17" t="str">
        <f>IF(IF(A67&lt;&gt;"",VLOOKUP(A67,Employees!A:Q,4,0),"")="NULL","",IF(A67&lt;&gt;"",VLOOKUP(A67,Employees!A:Q,4,0),""))</f>
        <v/>
      </c>
      <c r="E67" s="17" t="str">
        <f>IF(IF(A67&lt;&gt;"",VLOOKUP(A67,Employees!A:Q,5,0),"")="NULL","",IF(A67&lt;&gt;"",VLOOKUP(A67,Employees!A:Q,5,0),""))</f>
        <v/>
      </c>
      <c r="F67" t="str">
        <f>IF(IF(A67&lt;&gt;"",VLOOKUP(A67,Employees!A:Q,9,0),"")="NULL","",IF(A67&lt;&gt;"",VLOOKUP(A67,Employees!A:Q,9,0),""))</f>
        <v/>
      </c>
      <c r="G67" t="str">
        <f>IF(IF(A67&lt;&gt;"",VLOOKUP(A67,Employees!A:Q,10,0),"")="NULL","",IF(A67&lt;&gt;"",VLOOKUP(A67,Employees!A:Q,10,0),""))</f>
        <v/>
      </c>
      <c r="H67" t="str">
        <f>IF(IF(A67&lt;&gt;"",VLOOKUP(A67,Employees!A:Q,11,0),"")="NULL","",IF(A67&lt;&gt;"",VLOOKUP(A67,Employees!A:Q,11,0),""))</f>
        <v/>
      </c>
      <c r="I67" s="25" t="str">
        <f>IFERROR(VALUE(IF(IF(A67&lt;&gt;"",VLOOKUP(A67,Employees!A:Q,12,0),"")="NULL","",IF(A67&lt;&gt;"",VLOOKUP(A67,Employees!A:Q,12,0),""))),"")</f>
        <v/>
      </c>
      <c r="J67" t="str">
        <f>IF(IF(A67&lt;&gt;"",VLOOKUP(A67,Employees!A:Q,14,0),"")="NULL","",IF(A67&lt;&gt;"",VLOOKUP(A67,Employees!A:Q,14,0),""))</f>
        <v/>
      </c>
    </row>
    <row r="68" spans="2:10" x14ac:dyDescent="0.25">
      <c r="B68" t="str">
        <f>IF(A68&lt;&gt;"",VLOOKUP(A68,Employees!A:Q,2,0),"")</f>
        <v/>
      </c>
      <c r="C68" t="str">
        <f>IF(A68&lt;&gt;"",VLOOKUP(A68,Employees!A:Q,3,0),"")</f>
        <v/>
      </c>
      <c r="D68" s="17" t="str">
        <f>IF(IF(A68&lt;&gt;"",VLOOKUP(A68,Employees!A:Q,4,0),"")="NULL","",IF(A68&lt;&gt;"",VLOOKUP(A68,Employees!A:Q,4,0),""))</f>
        <v/>
      </c>
      <c r="E68" s="17" t="str">
        <f>IF(IF(A68&lt;&gt;"",VLOOKUP(A68,Employees!A:Q,5,0),"")="NULL","",IF(A68&lt;&gt;"",VLOOKUP(A68,Employees!A:Q,5,0),""))</f>
        <v/>
      </c>
      <c r="F68" t="str">
        <f>IF(IF(A68&lt;&gt;"",VLOOKUP(A68,Employees!A:Q,9,0),"")="NULL","",IF(A68&lt;&gt;"",VLOOKUP(A68,Employees!A:Q,9,0),""))</f>
        <v/>
      </c>
      <c r="G68" t="str">
        <f>IF(IF(A68&lt;&gt;"",VLOOKUP(A68,Employees!A:Q,10,0),"")="NULL","",IF(A68&lt;&gt;"",VLOOKUP(A68,Employees!A:Q,10,0),""))</f>
        <v/>
      </c>
      <c r="H68" t="str">
        <f>IF(IF(A68&lt;&gt;"",VLOOKUP(A68,Employees!A:Q,11,0),"")="NULL","",IF(A68&lt;&gt;"",VLOOKUP(A68,Employees!A:Q,11,0),""))</f>
        <v/>
      </c>
      <c r="I68" s="25" t="str">
        <f>IFERROR(VALUE(IF(IF(A68&lt;&gt;"",VLOOKUP(A68,Employees!A:Q,12,0),"")="NULL","",IF(A68&lt;&gt;"",VLOOKUP(A68,Employees!A:Q,12,0),""))),"")</f>
        <v/>
      </c>
      <c r="J68" t="str">
        <f>IF(IF(A68&lt;&gt;"",VLOOKUP(A68,Employees!A:Q,14,0),"")="NULL","",IF(A68&lt;&gt;"",VLOOKUP(A68,Employees!A:Q,14,0),""))</f>
        <v/>
      </c>
    </row>
    <row r="69" spans="2:10" x14ac:dyDescent="0.25">
      <c r="B69" t="str">
        <f>IF(A69&lt;&gt;"",VLOOKUP(A69,Employees!A:Q,2,0),"")</f>
        <v/>
      </c>
      <c r="C69" t="str">
        <f>IF(A69&lt;&gt;"",VLOOKUP(A69,Employees!A:Q,3,0),"")</f>
        <v/>
      </c>
      <c r="D69" s="17" t="str">
        <f>IF(IF(A69&lt;&gt;"",VLOOKUP(A69,Employees!A:Q,4,0),"")="NULL","",IF(A69&lt;&gt;"",VLOOKUP(A69,Employees!A:Q,4,0),""))</f>
        <v/>
      </c>
      <c r="E69" s="17" t="str">
        <f>IF(IF(A69&lt;&gt;"",VLOOKUP(A69,Employees!A:Q,5,0),"")="NULL","",IF(A69&lt;&gt;"",VLOOKUP(A69,Employees!A:Q,5,0),""))</f>
        <v/>
      </c>
      <c r="F69" t="str">
        <f>IF(IF(A69&lt;&gt;"",VLOOKUP(A69,Employees!A:Q,9,0),"")="NULL","",IF(A69&lt;&gt;"",VLOOKUP(A69,Employees!A:Q,9,0),""))</f>
        <v/>
      </c>
      <c r="G69" t="str">
        <f>IF(IF(A69&lt;&gt;"",VLOOKUP(A69,Employees!A:Q,10,0),"")="NULL","",IF(A69&lt;&gt;"",VLOOKUP(A69,Employees!A:Q,10,0),""))</f>
        <v/>
      </c>
      <c r="H69" t="str">
        <f>IF(IF(A69&lt;&gt;"",VLOOKUP(A69,Employees!A:Q,11,0),"")="NULL","",IF(A69&lt;&gt;"",VLOOKUP(A69,Employees!A:Q,11,0),""))</f>
        <v/>
      </c>
      <c r="I69" s="25" t="str">
        <f>IFERROR(VALUE(IF(IF(A69&lt;&gt;"",VLOOKUP(A69,Employees!A:Q,12,0),"")="NULL","",IF(A69&lt;&gt;"",VLOOKUP(A69,Employees!A:Q,12,0),""))),"")</f>
        <v/>
      </c>
      <c r="J69" t="str">
        <f>IF(IF(A69&lt;&gt;"",VLOOKUP(A69,Employees!A:Q,14,0),"")="NULL","",IF(A69&lt;&gt;"",VLOOKUP(A69,Employees!A:Q,14,0),""))</f>
        <v/>
      </c>
    </row>
    <row r="70" spans="2:10" x14ac:dyDescent="0.25">
      <c r="B70" t="str">
        <f>IF(A70&lt;&gt;"",VLOOKUP(A70,Employees!A:Q,2,0),"")</f>
        <v/>
      </c>
      <c r="C70" t="str">
        <f>IF(A70&lt;&gt;"",VLOOKUP(A70,Employees!A:Q,3,0),"")</f>
        <v/>
      </c>
      <c r="D70" s="17" t="str">
        <f>IF(IF(A70&lt;&gt;"",VLOOKUP(A70,Employees!A:Q,4,0),"")="NULL","",IF(A70&lt;&gt;"",VLOOKUP(A70,Employees!A:Q,4,0),""))</f>
        <v/>
      </c>
      <c r="E70" s="17" t="str">
        <f>IF(IF(A70&lt;&gt;"",VLOOKUP(A70,Employees!A:Q,5,0),"")="NULL","",IF(A70&lt;&gt;"",VLOOKUP(A70,Employees!A:Q,5,0),""))</f>
        <v/>
      </c>
      <c r="F70" t="str">
        <f>IF(IF(A70&lt;&gt;"",VLOOKUP(A70,Employees!A:Q,9,0),"")="NULL","",IF(A70&lt;&gt;"",VLOOKUP(A70,Employees!A:Q,9,0),""))</f>
        <v/>
      </c>
      <c r="G70" t="str">
        <f>IF(IF(A70&lt;&gt;"",VLOOKUP(A70,Employees!A:Q,10,0),"")="NULL","",IF(A70&lt;&gt;"",VLOOKUP(A70,Employees!A:Q,10,0),""))</f>
        <v/>
      </c>
      <c r="H70" t="str">
        <f>IF(IF(A70&lt;&gt;"",VLOOKUP(A70,Employees!A:Q,11,0),"")="NULL","",IF(A70&lt;&gt;"",VLOOKUP(A70,Employees!A:Q,11,0),""))</f>
        <v/>
      </c>
      <c r="I70" s="25" t="str">
        <f>IFERROR(VALUE(IF(IF(A70&lt;&gt;"",VLOOKUP(A70,Employees!A:Q,12,0),"")="NULL","",IF(A70&lt;&gt;"",VLOOKUP(A70,Employees!A:Q,12,0),""))),"")</f>
        <v/>
      </c>
      <c r="J70" t="str">
        <f>IF(IF(A70&lt;&gt;"",VLOOKUP(A70,Employees!A:Q,14,0),"")="NULL","",IF(A70&lt;&gt;"",VLOOKUP(A70,Employees!A:Q,14,0),""))</f>
        <v/>
      </c>
    </row>
    <row r="71" spans="2:10" x14ac:dyDescent="0.25">
      <c r="B71" t="str">
        <f>IF(A71&lt;&gt;"",VLOOKUP(A71,Employees!A:Q,2,0),"")</f>
        <v/>
      </c>
      <c r="C71" t="str">
        <f>IF(A71&lt;&gt;"",VLOOKUP(A71,Employees!A:Q,3,0),"")</f>
        <v/>
      </c>
      <c r="D71" s="17" t="str">
        <f>IF(IF(A71&lt;&gt;"",VLOOKUP(A71,Employees!A:Q,4,0),"")="NULL","",IF(A71&lt;&gt;"",VLOOKUP(A71,Employees!A:Q,4,0),""))</f>
        <v/>
      </c>
      <c r="E71" s="17" t="str">
        <f>IF(IF(A71&lt;&gt;"",VLOOKUP(A71,Employees!A:Q,5,0),"")="NULL","",IF(A71&lt;&gt;"",VLOOKUP(A71,Employees!A:Q,5,0),""))</f>
        <v/>
      </c>
      <c r="F71" t="str">
        <f>IF(IF(A71&lt;&gt;"",VLOOKUP(A71,Employees!A:Q,9,0),"")="NULL","",IF(A71&lt;&gt;"",VLOOKUP(A71,Employees!A:Q,9,0),""))</f>
        <v/>
      </c>
      <c r="G71" t="str">
        <f>IF(IF(A71&lt;&gt;"",VLOOKUP(A71,Employees!A:Q,10,0),"")="NULL","",IF(A71&lt;&gt;"",VLOOKUP(A71,Employees!A:Q,10,0),""))</f>
        <v/>
      </c>
      <c r="H71" t="str">
        <f>IF(IF(A71&lt;&gt;"",VLOOKUP(A71,Employees!A:Q,11,0),"")="NULL","",IF(A71&lt;&gt;"",VLOOKUP(A71,Employees!A:Q,11,0),""))</f>
        <v/>
      </c>
      <c r="I71" s="25" t="str">
        <f>IFERROR(VALUE(IF(IF(A71&lt;&gt;"",VLOOKUP(A71,Employees!A:Q,12,0),"")="NULL","",IF(A71&lt;&gt;"",VLOOKUP(A71,Employees!A:Q,12,0),""))),"")</f>
        <v/>
      </c>
      <c r="J71" t="str">
        <f>IF(IF(A71&lt;&gt;"",VLOOKUP(A71,Employees!A:Q,14,0),"")="NULL","",IF(A71&lt;&gt;"",VLOOKUP(A71,Employees!A:Q,14,0),""))</f>
        <v/>
      </c>
    </row>
    <row r="72" spans="2:10" x14ac:dyDescent="0.25">
      <c r="B72" t="str">
        <f>IF(A72&lt;&gt;"",VLOOKUP(A72,Employees!A:Q,2,0),"")</f>
        <v/>
      </c>
      <c r="C72" t="str">
        <f>IF(A72&lt;&gt;"",VLOOKUP(A72,Employees!A:Q,3,0),"")</f>
        <v/>
      </c>
      <c r="D72" s="17" t="str">
        <f>IF(IF(A72&lt;&gt;"",VLOOKUP(A72,Employees!A:Q,4,0),"")="NULL","",IF(A72&lt;&gt;"",VLOOKUP(A72,Employees!A:Q,4,0),""))</f>
        <v/>
      </c>
      <c r="E72" s="17" t="str">
        <f>IF(IF(A72&lt;&gt;"",VLOOKUP(A72,Employees!A:Q,5,0),"")="NULL","",IF(A72&lt;&gt;"",VLOOKUP(A72,Employees!A:Q,5,0),""))</f>
        <v/>
      </c>
      <c r="F72" t="str">
        <f>IF(IF(A72&lt;&gt;"",VLOOKUP(A72,Employees!A:Q,9,0),"")="NULL","",IF(A72&lt;&gt;"",VLOOKUP(A72,Employees!A:Q,9,0),""))</f>
        <v/>
      </c>
      <c r="G72" t="str">
        <f>IF(IF(A72&lt;&gt;"",VLOOKUP(A72,Employees!A:Q,10,0),"")="NULL","",IF(A72&lt;&gt;"",VLOOKUP(A72,Employees!A:Q,10,0),""))</f>
        <v/>
      </c>
      <c r="H72" t="str">
        <f>IF(IF(A72&lt;&gt;"",VLOOKUP(A72,Employees!A:Q,11,0),"")="NULL","",IF(A72&lt;&gt;"",VLOOKUP(A72,Employees!A:Q,11,0),""))</f>
        <v/>
      </c>
      <c r="I72" s="25" t="str">
        <f>IFERROR(VALUE(IF(IF(A72&lt;&gt;"",VLOOKUP(A72,Employees!A:Q,12,0),"")="NULL","",IF(A72&lt;&gt;"",VLOOKUP(A72,Employees!A:Q,12,0),""))),"")</f>
        <v/>
      </c>
      <c r="J72" t="str">
        <f>IF(IF(A72&lt;&gt;"",VLOOKUP(A72,Employees!A:Q,14,0),"")="NULL","",IF(A72&lt;&gt;"",VLOOKUP(A72,Employees!A:Q,14,0),""))</f>
        <v/>
      </c>
    </row>
    <row r="73" spans="2:10" x14ac:dyDescent="0.25">
      <c r="B73" t="str">
        <f>IF(A73&lt;&gt;"",VLOOKUP(A73,Employees!A:Q,2,0),"")</f>
        <v/>
      </c>
      <c r="C73" t="str">
        <f>IF(A73&lt;&gt;"",VLOOKUP(A73,Employees!A:Q,3,0),"")</f>
        <v/>
      </c>
      <c r="D73" s="17" t="str">
        <f>IF(IF(A73&lt;&gt;"",VLOOKUP(A73,Employees!A:Q,4,0),"")="NULL","",IF(A73&lt;&gt;"",VLOOKUP(A73,Employees!A:Q,4,0),""))</f>
        <v/>
      </c>
      <c r="E73" s="17" t="str">
        <f>IF(IF(A73&lt;&gt;"",VLOOKUP(A73,Employees!A:Q,5,0),"")="NULL","",IF(A73&lt;&gt;"",VLOOKUP(A73,Employees!A:Q,5,0),""))</f>
        <v/>
      </c>
      <c r="F73" t="str">
        <f>IF(IF(A73&lt;&gt;"",VLOOKUP(A73,Employees!A:Q,9,0),"")="NULL","",IF(A73&lt;&gt;"",VLOOKUP(A73,Employees!A:Q,9,0),""))</f>
        <v/>
      </c>
      <c r="G73" t="str">
        <f>IF(IF(A73&lt;&gt;"",VLOOKUP(A73,Employees!A:Q,10,0),"")="NULL","",IF(A73&lt;&gt;"",VLOOKUP(A73,Employees!A:Q,10,0),""))</f>
        <v/>
      </c>
      <c r="H73" t="str">
        <f>IF(IF(A73&lt;&gt;"",VLOOKUP(A73,Employees!A:Q,11,0),"")="NULL","",IF(A73&lt;&gt;"",VLOOKUP(A73,Employees!A:Q,11,0),""))</f>
        <v/>
      </c>
      <c r="I73" s="25" t="str">
        <f>IFERROR(VALUE(IF(IF(A73&lt;&gt;"",VLOOKUP(A73,Employees!A:Q,12,0),"")="NULL","",IF(A73&lt;&gt;"",VLOOKUP(A73,Employees!A:Q,12,0),""))),"")</f>
        <v/>
      </c>
      <c r="J73" t="str">
        <f>IF(IF(A73&lt;&gt;"",VLOOKUP(A73,Employees!A:Q,14,0),"")="NULL","",IF(A73&lt;&gt;"",VLOOKUP(A73,Employees!A:Q,14,0),""))</f>
        <v/>
      </c>
    </row>
    <row r="74" spans="2:10" x14ac:dyDescent="0.25">
      <c r="B74" t="str">
        <f>IF(A74&lt;&gt;"",VLOOKUP(A74,Employees!A:Q,2,0),"")</f>
        <v/>
      </c>
      <c r="C74" t="str">
        <f>IF(A74&lt;&gt;"",VLOOKUP(A74,Employees!A:Q,3,0),"")</f>
        <v/>
      </c>
      <c r="D74" s="17" t="str">
        <f>IF(IF(A74&lt;&gt;"",VLOOKUP(A74,Employees!A:Q,4,0),"")="NULL","",IF(A74&lt;&gt;"",VLOOKUP(A74,Employees!A:Q,4,0),""))</f>
        <v/>
      </c>
      <c r="E74" s="17" t="str">
        <f>IF(IF(A74&lt;&gt;"",VLOOKUP(A74,Employees!A:Q,5,0),"")="NULL","",IF(A74&lt;&gt;"",VLOOKUP(A74,Employees!A:Q,5,0),""))</f>
        <v/>
      </c>
      <c r="F74" t="str">
        <f>IF(IF(A74&lt;&gt;"",VLOOKUP(A74,Employees!A:Q,9,0),"")="NULL","",IF(A74&lt;&gt;"",VLOOKUP(A74,Employees!A:Q,9,0),""))</f>
        <v/>
      </c>
      <c r="G74" t="str">
        <f>IF(IF(A74&lt;&gt;"",VLOOKUP(A74,Employees!A:Q,10,0),"")="NULL","",IF(A74&lt;&gt;"",VLOOKUP(A74,Employees!A:Q,10,0),""))</f>
        <v/>
      </c>
      <c r="H74" t="str">
        <f>IF(IF(A74&lt;&gt;"",VLOOKUP(A74,Employees!A:Q,11,0),"")="NULL","",IF(A74&lt;&gt;"",VLOOKUP(A74,Employees!A:Q,11,0),""))</f>
        <v/>
      </c>
      <c r="I74" s="25" t="str">
        <f>IFERROR(VALUE(IF(IF(A74&lt;&gt;"",VLOOKUP(A74,Employees!A:Q,12,0),"")="NULL","",IF(A74&lt;&gt;"",VLOOKUP(A74,Employees!A:Q,12,0),""))),"")</f>
        <v/>
      </c>
      <c r="J74" t="str">
        <f>IF(IF(A74&lt;&gt;"",VLOOKUP(A74,Employees!A:Q,14,0),"")="NULL","",IF(A74&lt;&gt;"",VLOOKUP(A74,Employees!A:Q,14,0),""))</f>
        <v/>
      </c>
    </row>
    <row r="75" spans="2:10" x14ac:dyDescent="0.25">
      <c r="B75" t="str">
        <f>IF(A75&lt;&gt;"",VLOOKUP(A75,Employees!A:Q,2,0),"")</f>
        <v/>
      </c>
      <c r="C75" t="str">
        <f>IF(A75&lt;&gt;"",VLOOKUP(A75,Employees!A:Q,3,0),"")</f>
        <v/>
      </c>
      <c r="D75" s="17" t="str">
        <f>IF(IF(A75&lt;&gt;"",VLOOKUP(A75,Employees!A:Q,4,0),"")="NULL","",IF(A75&lt;&gt;"",VLOOKUP(A75,Employees!A:Q,4,0),""))</f>
        <v/>
      </c>
      <c r="E75" s="17" t="str">
        <f>IF(IF(A75&lt;&gt;"",VLOOKUP(A75,Employees!A:Q,5,0),"")="NULL","",IF(A75&lt;&gt;"",VLOOKUP(A75,Employees!A:Q,5,0),""))</f>
        <v/>
      </c>
      <c r="F75" t="str">
        <f>IF(IF(A75&lt;&gt;"",VLOOKUP(A75,Employees!A:Q,9,0),"")="NULL","",IF(A75&lt;&gt;"",VLOOKUP(A75,Employees!A:Q,9,0),""))</f>
        <v/>
      </c>
      <c r="G75" t="str">
        <f>IF(IF(A75&lt;&gt;"",VLOOKUP(A75,Employees!A:Q,10,0),"")="NULL","",IF(A75&lt;&gt;"",VLOOKUP(A75,Employees!A:Q,10,0),""))</f>
        <v/>
      </c>
      <c r="H75" t="str">
        <f>IF(IF(A75&lt;&gt;"",VLOOKUP(A75,Employees!A:Q,11,0),"")="NULL","",IF(A75&lt;&gt;"",VLOOKUP(A75,Employees!A:Q,11,0),""))</f>
        <v/>
      </c>
      <c r="I75" s="25" t="str">
        <f>IFERROR(VALUE(IF(IF(A75&lt;&gt;"",VLOOKUP(A75,Employees!A:Q,12,0),"")="NULL","",IF(A75&lt;&gt;"",VLOOKUP(A75,Employees!A:Q,12,0),""))),"")</f>
        <v/>
      </c>
      <c r="J75" t="str">
        <f>IF(IF(A75&lt;&gt;"",VLOOKUP(A75,Employees!A:Q,14,0),"")="NULL","",IF(A75&lt;&gt;"",VLOOKUP(A75,Employees!A:Q,14,0),""))</f>
        <v/>
      </c>
    </row>
    <row r="76" spans="2:10" x14ac:dyDescent="0.25">
      <c r="B76" t="str">
        <f>IF(A76&lt;&gt;"",VLOOKUP(A76,Employees!A:Q,2,0),"")</f>
        <v/>
      </c>
      <c r="C76" t="str">
        <f>IF(A76&lt;&gt;"",VLOOKUP(A76,Employees!A:Q,3,0),"")</f>
        <v/>
      </c>
      <c r="D76" s="17" t="str">
        <f>IF(IF(A76&lt;&gt;"",VLOOKUP(A76,Employees!A:Q,4,0),"")="NULL","",IF(A76&lt;&gt;"",VLOOKUP(A76,Employees!A:Q,4,0),""))</f>
        <v/>
      </c>
      <c r="E76" s="17" t="str">
        <f>IF(IF(A76&lt;&gt;"",VLOOKUP(A76,Employees!A:Q,5,0),"")="NULL","",IF(A76&lt;&gt;"",VLOOKUP(A76,Employees!A:Q,5,0),""))</f>
        <v/>
      </c>
      <c r="F76" t="str">
        <f>IF(IF(A76&lt;&gt;"",VLOOKUP(A76,Employees!A:Q,9,0),"")="NULL","",IF(A76&lt;&gt;"",VLOOKUP(A76,Employees!A:Q,9,0),""))</f>
        <v/>
      </c>
      <c r="G76" t="str">
        <f>IF(IF(A76&lt;&gt;"",VLOOKUP(A76,Employees!A:Q,10,0),"")="NULL","",IF(A76&lt;&gt;"",VLOOKUP(A76,Employees!A:Q,10,0),""))</f>
        <v/>
      </c>
      <c r="H76" t="str">
        <f>IF(IF(A76&lt;&gt;"",VLOOKUP(A76,Employees!A:Q,11,0),"")="NULL","",IF(A76&lt;&gt;"",VLOOKUP(A76,Employees!A:Q,11,0),""))</f>
        <v/>
      </c>
      <c r="I76" s="25" t="str">
        <f>IFERROR(VALUE(IF(IF(A76&lt;&gt;"",VLOOKUP(A76,Employees!A:Q,12,0),"")="NULL","",IF(A76&lt;&gt;"",VLOOKUP(A76,Employees!A:Q,12,0),""))),"")</f>
        <v/>
      </c>
      <c r="J76" t="str">
        <f>IF(IF(A76&lt;&gt;"",VLOOKUP(A76,Employees!A:Q,14,0),"")="NULL","",IF(A76&lt;&gt;"",VLOOKUP(A76,Employees!A:Q,14,0),""))</f>
        <v/>
      </c>
    </row>
    <row r="77" spans="2:10" x14ac:dyDescent="0.25">
      <c r="B77" t="str">
        <f>IF(A77&lt;&gt;"",VLOOKUP(A77,Employees!A:Q,2,0),"")</f>
        <v/>
      </c>
      <c r="C77" t="str">
        <f>IF(A77&lt;&gt;"",VLOOKUP(A77,Employees!A:Q,3,0),"")</f>
        <v/>
      </c>
      <c r="D77" s="17" t="str">
        <f>IF(IF(A77&lt;&gt;"",VLOOKUP(A77,Employees!A:Q,4,0),"")="NULL","",IF(A77&lt;&gt;"",VLOOKUP(A77,Employees!A:Q,4,0),""))</f>
        <v/>
      </c>
      <c r="E77" s="17" t="str">
        <f>IF(IF(A77&lt;&gt;"",VLOOKUP(A77,Employees!A:Q,5,0),"")="NULL","",IF(A77&lt;&gt;"",VLOOKUP(A77,Employees!A:Q,5,0),""))</f>
        <v/>
      </c>
      <c r="F77" t="str">
        <f>IF(IF(A77&lt;&gt;"",VLOOKUP(A77,Employees!A:Q,9,0),"")="NULL","",IF(A77&lt;&gt;"",VLOOKUP(A77,Employees!A:Q,9,0),""))</f>
        <v/>
      </c>
      <c r="G77" t="str">
        <f>IF(IF(A77&lt;&gt;"",VLOOKUP(A77,Employees!A:Q,10,0),"")="NULL","",IF(A77&lt;&gt;"",VLOOKUP(A77,Employees!A:Q,10,0),""))</f>
        <v/>
      </c>
      <c r="H77" t="str">
        <f>IF(IF(A77&lt;&gt;"",VLOOKUP(A77,Employees!A:Q,11,0),"")="NULL","",IF(A77&lt;&gt;"",VLOOKUP(A77,Employees!A:Q,11,0),""))</f>
        <v/>
      </c>
      <c r="I77" s="25" t="str">
        <f>IFERROR(VALUE(IF(IF(A77&lt;&gt;"",VLOOKUP(A77,Employees!A:Q,12,0),"")="NULL","",IF(A77&lt;&gt;"",VLOOKUP(A77,Employees!A:Q,12,0),""))),"")</f>
        <v/>
      </c>
      <c r="J77" t="str">
        <f>IF(IF(A77&lt;&gt;"",VLOOKUP(A77,Employees!A:Q,14,0),"")="NULL","",IF(A77&lt;&gt;"",VLOOKUP(A77,Employees!A:Q,14,0),""))</f>
        <v/>
      </c>
    </row>
    <row r="78" spans="2:10" x14ac:dyDescent="0.25">
      <c r="B78" t="str">
        <f>IF(A78&lt;&gt;"",VLOOKUP(A78,Employees!A:Q,2,0),"")</f>
        <v/>
      </c>
      <c r="C78" t="str">
        <f>IF(A78&lt;&gt;"",VLOOKUP(A78,Employees!A:Q,3,0),"")</f>
        <v/>
      </c>
      <c r="D78" s="17" t="str">
        <f>IF(IF(A78&lt;&gt;"",VLOOKUP(A78,Employees!A:Q,4,0),"")="NULL","",IF(A78&lt;&gt;"",VLOOKUP(A78,Employees!A:Q,4,0),""))</f>
        <v/>
      </c>
      <c r="E78" s="17" t="str">
        <f>IF(IF(A78&lt;&gt;"",VLOOKUP(A78,Employees!A:Q,5,0),"")="NULL","",IF(A78&lt;&gt;"",VLOOKUP(A78,Employees!A:Q,5,0),""))</f>
        <v/>
      </c>
      <c r="F78" t="str">
        <f>IF(IF(A78&lt;&gt;"",VLOOKUP(A78,Employees!A:Q,9,0),"")="NULL","",IF(A78&lt;&gt;"",VLOOKUP(A78,Employees!A:Q,9,0),""))</f>
        <v/>
      </c>
      <c r="G78" t="str">
        <f>IF(IF(A78&lt;&gt;"",VLOOKUP(A78,Employees!A:Q,10,0),"")="NULL","",IF(A78&lt;&gt;"",VLOOKUP(A78,Employees!A:Q,10,0),""))</f>
        <v/>
      </c>
      <c r="H78" t="str">
        <f>IF(IF(A78&lt;&gt;"",VLOOKUP(A78,Employees!A:Q,11,0),"")="NULL","",IF(A78&lt;&gt;"",VLOOKUP(A78,Employees!A:Q,11,0),""))</f>
        <v/>
      </c>
      <c r="I78" s="25" t="str">
        <f>IFERROR(VALUE(IF(IF(A78&lt;&gt;"",VLOOKUP(A78,Employees!A:Q,12,0),"")="NULL","",IF(A78&lt;&gt;"",VLOOKUP(A78,Employees!A:Q,12,0),""))),"")</f>
        <v/>
      </c>
      <c r="J78" t="str">
        <f>IF(IF(A78&lt;&gt;"",VLOOKUP(A78,Employees!A:Q,14,0),"")="NULL","",IF(A78&lt;&gt;"",VLOOKUP(A78,Employees!A:Q,14,0),""))</f>
        <v/>
      </c>
    </row>
    <row r="79" spans="2:10" x14ac:dyDescent="0.25">
      <c r="B79" t="str">
        <f>IF(A79&lt;&gt;"",VLOOKUP(A79,Employees!A:Q,2,0),"")</f>
        <v/>
      </c>
      <c r="C79" t="str">
        <f>IF(A79&lt;&gt;"",VLOOKUP(A79,Employees!A:Q,3,0),"")</f>
        <v/>
      </c>
      <c r="D79" s="17" t="str">
        <f>IF(IF(A79&lt;&gt;"",VLOOKUP(A79,Employees!A:Q,4,0),"")="NULL","",IF(A79&lt;&gt;"",VLOOKUP(A79,Employees!A:Q,4,0),""))</f>
        <v/>
      </c>
      <c r="E79" s="17" t="str">
        <f>IF(IF(A79&lt;&gt;"",VLOOKUP(A79,Employees!A:Q,5,0),"")="NULL","",IF(A79&lt;&gt;"",VLOOKUP(A79,Employees!A:Q,5,0),""))</f>
        <v/>
      </c>
      <c r="F79" t="str">
        <f>IF(IF(A79&lt;&gt;"",VLOOKUP(A79,Employees!A:Q,9,0),"")="NULL","",IF(A79&lt;&gt;"",VLOOKUP(A79,Employees!A:Q,9,0),""))</f>
        <v/>
      </c>
      <c r="G79" t="str">
        <f>IF(IF(A79&lt;&gt;"",VLOOKUP(A79,Employees!A:Q,10,0),"")="NULL","",IF(A79&lt;&gt;"",VLOOKUP(A79,Employees!A:Q,10,0),""))</f>
        <v/>
      </c>
      <c r="H79" t="str">
        <f>IF(IF(A79&lt;&gt;"",VLOOKUP(A79,Employees!A:Q,11,0),"")="NULL","",IF(A79&lt;&gt;"",VLOOKUP(A79,Employees!A:Q,11,0),""))</f>
        <v/>
      </c>
      <c r="I79" s="25" t="str">
        <f>IFERROR(VALUE(IF(IF(A79&lt;&gt;"",VLOOKUP(A79,Employees!A:Q,12,0),"")="NULL","",IF(A79&lt;&gt;"",VLOOKUP(A79,Employees!A:Q,12,0),""))),"")</f>
        <v/>
      </c>
      <c r="J79" t="str">
        <f>IF(IF(A79&lt;&gt;"",VLOOKUP(A79,Employees!A:Q,14,0),"")="NULL","",IF(A79&lt;&gt;"",VLOOKUP(A79,Employees!A:Q,14,0),""))</f>
        <v/>
      </c>
    </row>
    <row r="80" spans="2:10" x14ac:dyDescent="0.25">
      <c r="B80" t="str">
        <f>IF(A80&lt;&gt;"",VLOOKUP(A80,Employees!A:Q,2,0),"")</f>
        <v/>
      </c>
      <c r="C80" t="str">
        <f>IF(A80&lt;&gt;"",VLOOKUP(A80,Employees!A:Q,3,0),"")</f>
        <v/>
      </c>
      <c r="D80" s="17" t="str">
        <f>IF(IF(A80&lt;&gt;"",VLOOKUP(A80,Employees!A:Q,4,0),"")="NULL","",IF(A80&lt;&gt;"",VLOOKUP(A80,Employees!A:Q,4,0),""))</f>
        <v/>
      </c>
      <c r="E80" s="17" t="str">
        <f>IF(IF(A80&lt;&gt;"",VLOOKUP(A80,Employees!A:Q,5,0),"")="NULL","",IF(A80&lt;&gt;"",VLOOKUP(A80,Employees!A:Q,5,0),""))</f>
        <v/>
      </c>
      <c r="F80" t="str">
        <f>IF(IF(A80&lt;&gt;"",VLOOKUP(A80,Employees!A:Q,9,0),"")="NULL","",IF(A80&lt;&gt;"",VLOOKUP(A80,Employees!A:Q,9,0),""))</f>
        <v/>
      </c>
      <c r="G80" t="str">
        <f>IF(IF(A80&lt;&gt;"",VLOOKUP(A80,Employees!A:Q,10,0),"")="NULL","",IF(A80&lt;&gt;"",VLOOKUP(A80,Employees!A:Q,10,0),""))</f>
        <v/>
      </c>
      <c r="H80" t="str">
        <f>IF(IF(A80&lt;&gt;"",VLOOKUP(A80,Employees!A:Q,11,0),"")="NULL","",IF(A80&lt;&gt;"",VLOOKUP(A80,Employees!A:Q,11,0),""))</f>
        <v/>
      </c>
      <c r="I80" s="25" t="str">
        <f>IFERROR(VALUE(IF(IF(A80&lt;&gt;"",VLOOKUP(A80,Employees!A:Q,12,0),"")="NULL","",IF(A80&lt;&gt;"",VLOOKUP(A80,Employees!A:Q,12,0),""))),"")</f>
        <v/>
      </c>
      <c r="J80" t="str">
        <f>IF(IF(A80&lt;&gt;"",VLOOKUP(A80,Employees!A:Q,14,0),"")="NULL","",IF(A80&lt;&gt;"",VLOOKUP(A80,Employees!A:Q,14,0),""))</f>
        <v/>
      </c>
    </row>
    <row r="81" spans="2:10" x14ac:dyDescent="0.25">
      <c r="B81" t="str">
        <f>IF(A81&lt;&gt;"",VLOOKUP(A81,Employees!A:Q,2,0),"")</f>
        <v/>
      </c>
      <c r="C81" t="str">
        <f>IF(A81&lt;&gt;"",VLOOKUP(A81,Employees!A:Q,3,0),"")</f>
        <v/>
      </c>
      <c r="D81" s="17" t="str">
        <f>IF(IF(A81&lt;&gt;"",VLOOKUP(A81,Employees!A:Q,4,0),"")="NULL","",IF(A81&lt;&gt;"",VLOOKUP(A81,Employees!A:Q,4,0),""))</f>
        <v/>
      </c>
      <c r="E81" s="17" t="str">
        <f>IF(IF(A81&lt;&gt;"",VLOOKUP(A81,Employees!A:Q,5,0),"")="NULL","",IF(A81&lt;&gt;"",VLOOKUP(A81,Employees!A:Q,5,0),""))</f>
        <v/>
      </c>
      <c r="F81" t="str">
        <f>IF(IF(A81&lt;&gt;"",VLOOKUP(A81,Employees!A:Q,9,0),"")="NULL","",IF(A81&lt;&gt;"",VLOOKUP(A81,Employees!A:Q,9,0),""))</f>
        <v/>
      </c>
      <c r="G81" t="str">
        <f>IF(IF(A81&lt;&gt;"",VLOOKUP(A81,Employees!A:Q,10,0),"")="NULL","",IF(A81&lt;&gt;"",VLOOKUP(A81,Employees!A:Q,10,0),""))</f>
        <v/>
      </c>
      <c r="H81" t="str">
        <f>IF(IF(A81&lt;&gt;"",VLOOKUP(A81,Employees!A:Q,11,0),"")="NULL","",IF(A81&lt;&gt;"",VLOOKUP(A81,Employees!A:Q,11,0),""))</f>
        <v/>
      </c>
      <c r="I81" s="25" t="str">
        <f>IFERROR(VALUE(IF(IF(A81&lt;&gt;"",VLOOKUP(A81,Employees!A:Q,12,0),"")="NULL","",IF(A81&lt;&gt;"",VLOOKUP(A81,Employees!A:Q,12,0),""))),"")</f>
        <v/>
      </c>
      <c r="J81" t="str">
        <f>IF(IF(A81&lt;&gt;"",VLOOKUP(A81,Employees!A:Q,14,0),"")="NULL","",IF(A81&lt;&gt;"",VLOOKUP(A81,Employees!A:Q,14,0),""))</f>
        <v/>
      </c>
    </row>
    <row r="82" spans="2:10" x14ac:dyDescent="0.25">
      <c r="B82" t="str">
        <f>IF(A82&lt;&gt;"",VLOOKUP(A82,Employees!A:Q,2,0),"")</f>
        <v/>
      </c>
      <c r="C82" t="str">
        <f>IF(A82&lt;&gt;"",VLOOKUP(A82,Employees!A:Q,3,0),"")</f>
        <v/>
      </c>
      <c r="D82" s="17" t="str">
        <f>IF(IF(A82&lt;&gt;"",VLOOKUP(A82,Employees!A:Q,4,0),"")="NULL","",IF(A82&lt;&gt;"",VLOOKUP(A82,Employees!A:Q,4,0),""))</f>
        <v/>
      </c>
      <c r="E82" s="17" t="str">
        <f>IF(IF(A82&lt;&gt;"",VLOOKUP(A82,Employees!A:Q,5,0),"")="NULL","",IF(A82&lt;&gt;"",VLOOKUP(A82,Employees!A:Q,5,0),""))</f>
        <v/>
      </c>
      <c r="F82" t="str">
        <f>IF(IF(A82&lt;&gt;"",VLOOKUP(A82,Employees!A:Q,9,0),"")="NULL","",IF(A82&lt;&gt;"",VLOOKUP(A82,Employees!A:Q,9,0),""))</f>
        <v/>
      </c>
      <c r="G82" t="str">
        <f>IF(IF(A82&lt;&gt;"",VLOOKUP(A82,Employees!A:Q,10,0),"")="NULL","",IF(A82&lt;&gt;"",VLOOKUP(A82,Employees!A:Q,10,0),""))</f>
        <v/>
      </c>
      <c r="H82" t="str">
        <f>IF(IF(A82&lt;&gt;"",VLOOKUP(A82,Employees!A:Q,11,0),"")="NULL","",IF(A82&lt;&gt;"",VLOOKUP(A82,Employees!A:Q,11,0),""))</f>
        <v/>
      </c>
      <c r="I82" s="25" t="str">
        <f>IFERROR(VALUE(IF(IF(A82&lt;&gt;"",VLOOKUP(A82,Employees!A:Q,12,0),"")="NULL","",IF(A82&lt;&gt;"",VLOOKUP(A82,Employees!A:Q,12,0),""))),"")</f>
        <v/>
      </c>
      <c r="J82" t="str">
        <f>IF(IF(A82&lt;&gt;"",VLOOKUP(A82,Employees!A:Q,14,0),"")="NULL","",IF(A82&lt;&gt;"",VLOOKUP(A82,Employees!A:Q,14,0),""))</f>
        <v/>
      </c>
    </row>
    <row r="83" spans="2:10" x14ac:dyDescent="0.25">
      <c r="B83" t="str">
        <f>IF(A83&lt;&gt;"",VLOOKUP(A83,Employees!A:Q,2,0),"")</f>
        <v/>
      </c>
      <c r="C83" t="str">
        <f>IF(A83&lt;&gt;"",VLOOKUP(A83,Employees!A:Q,3,0),"")</f>
        <v/>
      </c>
      <c r="D83" s="17" t="str">
        <f>IF(IF(A83&lt;&gt;"",VLOOKUP(A83,Employees!A:Q,4,0),"")="NULL","",IF(A83&lt;&gt;"",VLOOKUP(A83,Employees!A:Q,4,0),""))</f>
        <v/>
      </c>
      <c r="E83" s="17" t="str">
        <f>IF(IF(A83&lt;&gt;"",VLOOKUP(A83,Employees!A:Q,5,0),"")="NULL","",IF(A83&lt;&gt;"",VLOOKUP(A83,Employees!A:Q,5,0),""))</f>
        <v/>
      </c>
      <c r="F83" t="str">
        <f>IF(IF(A83&lt;&gt;"",VLOOKUP(A83,Employees!A:Q,9,0),"")="NULL","",IF(A83&lt;&gt;"",VLOOKUP(A83,Employees!A:Q,9,0),""))</f>
        <v/>
      </c>
      <c r="G83" t="str">
        <f>IF(IF(A83&lt;&gt;"",VLOOKUP(A83,Employees!A:Q,10,0),"")="NULL","",IF(A83&lt;&gt;"",VLOOKUP(A83,Employees!A:Q,10,0),""))</f>
        <v/>
      </c>
      <c r="H83" t="str">
        <f>IF(IF(A83&lt;&gt;"",VLOOKUP(A83,Employees!A:Q,11,0),"")="NULL","",IF(A83&lt;&gt;"",VLOOKUP(A83,Employees!A:Q,11,0),""))</f>
        <v/>
      </c>
      <c r="I83" s="25" t="str">
        <f>IFERROR(VALUE(IF(IF(A83&lt;&gt;"",VLOOKUP(A83,Employees!A:Q,12,0),"")="NULL","",IF(A83&lt;&gt;"",VLOOKUP(A83,Employees!A:Q,12,0),""))),"")</f>
        <v/>
      </c>
      <c r="J83" t="str">
        <f>IF(IF(A83&lt;&gt;"",VLOOKUP(A83,Employees!A:Q,14,0),"")="NULL","",IF(A83&lt;&gt;"",VLOOKUP(A83,Employees!A:Q,14,0),""))</f>
        <v/>
      </c>
    </row>
    <row r="84" spans="2:10" x14ac:dyDescent="0.25">
      <c r="B84" t="str">
        <f>IF(A84&lt;&gt;"",VLOOKUP(A84,Employees!A:Q,2,0),"")</f>
        <v/>
      </c>
      <c r="C84" t="str">
        <f>IF(A84&lt;&gt;"",VLOOKUP(A84,Employees!A:Q,3,0),"")</f>
        <v/>
      </c>
      <c r="D84" s="17" t="str">
        <f>IF(IF(A84&lt;&gt;"",VLOOKUP(A84,Employees!A:Q,4,0),"")="NULL","",IF(A84&lt;&gt;"",VLOOKUP(A84,Employees!A:Q,4,0),""))</f>
        <v/>
      </c>
      <c r="E84" s="17" t="str">
        <f>IF(IF(A84&lt;&gt;"",VLOOKUP(A84,Employees!A:Q,5,0),"")="NULL","",IF(A84&lt;&gt;"",VLOOKUP(A84,Employees!A:Q,5,0),""))</f>
        <v/>
      </c>
      <c r="F84" t="str">
        <f>IF(IF(A84&lt;&gt;"",VLOOKUP(A84,Employees!A:Q,9,0),"")="NULL","",IF(A84&lt;&gt;"",VLOOKUP(A84,Employees!A:Q,9,0),""))</f>
        <v/>
      </c>
      <c r="G84" t="str">
        <f>IF(IF(A84&lt;&gt;"",VLOOKUP(A84,Employees!A:Q,10,0),"")="NULL","",IF(A84&lt;&gt;"",VLOOKUP(A84,Employees!A:Q,10,0),""))</f>
        <v/>
      </c>
      <c r="H84" t="str">
        <f>IF(IF(A84&lt;&gt;"",VLOOKUP(A84,Employees!A:Q,11,0),"")="NULL","",IF(A84&lt;&gt;"",VLOOKUP(A84,Employees!A:Q,11,0),""))</f>
        <v/>
      </c>
      <c r="I84" s="25" t="str">
        <f>IFERROR(VALUE(IF(IF(A84&lt;&gt;"",VLOOKUP(A84,Employees!A:Q,12,0),"")="NULL","",IF(A84&lt;&gt;"",VLOOKUP(A84,Employees!A:Q,12,0),""))),"")</f>
        <v/>
      </c>
      <c r="J84" t="str">
        <f>IF(IF(A84&lt;&gt;"",VLOOKUP(A84,Employees!A:Q,14,0),"")="NULL","",IF(A84&lt;&gt;"",VLOOKUP(A84,Employees!A:Q,14,0),""))</f>
        <v/>
      </c>
    </row>
    <row r="85" spans="2:10" x14ac:dyDescent="0.25">
      <c r="B85" t="str">
        <f>IF(A85&lt;&gt;"",VLOOKUP(A85,Employees!A:Q,2,0),"")</f>
        <v/>
      </c>
      <c r="C85" t="str">
        <f>IF(A85&lt;&gt;"",VLOOKUP(A85,Employees!A:Q,3,0),"")</f>
        <v/>
      </c>
      <c r="D85" s="17" t="str">
        <f>IF(IF(A85&lt;&gt;"",VLOOKUP(A85,Employees!A:Q,4,0),"")="NULL","",IF(A85&lt;&gt;"",VLOOKUP(A85,Employees!A:Q,4,0),""))</f>
        <v/>
      </c>
      <c r="E85" s="17" t="str">
        <f>IF(IF(A85&lt;&gt;"",VLOOKUP(A85,Employees!A:Q,5,0),"")="NULL","",IF(A85&lt;&gt;"",VLOOKUP(A85,Employees!A:Q,5,0),""))</f>
        <v/>
      </c>
      <c r="F85" t="str">
        <f>IF(IF(A85&lt;&gt;"",VLOOKUP(A85,Employees!A:Q,9,0),"")="NULL","",IF(A85&lt;&gt;"",VLOOKUP(A85,Employees!A:Q,9,0),""))</f>
        <v/>
      </c>
      <c r="G85" t="str">
        <f>IF(IF(A85&lt;&gt;"",VLOOKUP(A85,Employees!A:Q,10,0),"")="NULL","",IF(A85&lt;&gt;"",VLOOKUP(A85,Employees!A:Q,10,0),""))</f>
        <v/>
      </c>
      <c r="H85" t="str">
        <f>IF(IF(A85&lt;&gt;"",VLOOKUP(A85,Employees!A:Q,11,0),"")="NULL","",IF(A85&lt;&gt;"",VLOOKUP(A85,Employees!A:Q,11,0),""))</f>
        <v/>
      </c>
      <c r="I85" s="25" t="str">
        <f>IFERROR(VALUE(IF(IF(A85&lt;&gt;"",VLOOKUP(A85,Employees!A:Q,12,0),"")="NULL","",IF(A85&lt;&gt;"",VLOOKUP(A85,Employees!A:Q,12,0),""))),"")</f>
        <v/>
      </c>
      <c r="J85" t="str">
        <f>IF(IF(A85&lt;&gt;"",VLOOKUP(A85,Employees!A:Q,14,0),"")="NULL","",IF(A85&lt;&gt;"",VLOOKUP(A85,Employees!A:Q,14,0),""))</f>
        <v/>
      </c>
    </row>
    <row r="86" spans="2:10" x14ac:dyDescent="0.25">
      <c r="B86" t="str">
        <f>IF(A86&lt;&gt;"",VLOOKUP(A86,Employees!A:Q,2,0),"")</f>
        <v/>
      </c>
      <c r="C86" t="str">
        <f>IF(A86&lt;&gt;"",VLOOKUP(A86,Employees!A:Q,3,0),"")</f>
        <v/>
      </c>
      <c r="D86" s="17" t="str">
        <f>IF(IF(A86&lt;&gt;"",VLOOKUP(A86,Employees!A:Q,4,0),"")="NULL","",IF(A86&lt;&gt;"",VLOOKUP(A86,Employees!A:Q,4,0),""))</f>
        <v/>
      </c>
      <c r="E86" s="17" t="str">
        <f>IF(IF(A86&lt;&gt;"",VLOOKUP(A86,Employees!A:Q,5,0),"")="NULL","",IF(A86&lt;&gt;"",VLOOKUP(A86,Employees!A:Q,5,0),""))</f>
        <v/>
      </c>
      <c r="F86" t="str">
        <f>IF(IF(A86&lt;&gt;"",VLOOKUP(A86,Employees!A:Q,9,0),"")="NULL","",IF(A86&lt;&gt;"",VLOOKUP(A86,Employees!A:Q,9,0),""))</f>
        <v/>
      </c>
      <c r="G86" t="str">
        <f>IF(IF(A86&lt;&gt;"",VLOOKUP(A86,Employees!A:Q,10,0),"")="NULL","",IF(A86&lt;&gt;"",VLOOKUP(A86,Employees!A:Q,10,0),""))</f>
        <v/>
      </c>
      <c r="H86" t="str">
        <f>IF(IF(A86&lt;&gt;"",VLOOKUP(A86,Employees!A:Q,11,0),"")="NULL","",IF(A86&lt;&gt;"",VLOOKUP(A86,Employees!A:Q,11,0),""))</f>
        <v/>
      </c>
      <c r="I86" s="25" t="str">
        <f>IFERROR(VALUE(IF(IF(A86&lt;&gt;"",VLOOKUP(A86,Employees!A:Q,12,0),"")="NULL","",IF(A86&lt;&gt;"",VLOOKUP(A86,Employees!A:Q,12,0),""))),"")</f>
        <v/>
      </c>
      <c r="J86" t="str">
        <f>IF(IF(A86&lt;&gt;"",VLOOKUP(A86,Employees!A:Q,14,0),"")="NULL","",IF(A86&lt;&gt;"",VLOOKUP(A86,Employees!A:Q,14,0),""))</f>
        <v/>
      </c>
    </row>
    <row r="87" spans="2:10" x14ac:dyDescent="0.25">
      <c r="B87" t="str">
        <f>IF(A87&lt;&gt;"",VLOOKUP(A87,Employees!A:Q,2,0),"")</f>
        <v/>
      </c>
      <c r="C87" t="str">
        <f>IF(A87&lt;&gt;"",VLOOKUP(A87,Employees!A:Q,3,0),"")</f>
        <v/>
      </c>
      <c r="D87" s="17" t="str">
        <f>IF(IF(A87&lt;&gt;"",VLOOKUP(A87,Employees!A:Q,4,0),"")="NULL","",IF(A87&lt;&gt;"",VLOOKUP(A87,Employees!A:Q,4,0),""))</f>
        <v/>
      </c>
      <c r="E87" s="17" t="str">
        <f>IF(IF(A87&lt;&gt;"",VLOOKUP(A87,Employees!A:Q,5,0),"")="NULL","",IF(A87&lt;&gt;"",VLOOKUP(A87,Employees!A:Q,5,0),""))</f>
        <v/>
      </c>
      <c r="F87" t="str">
        <f>IF(IF(A87&lt;&gt;"",VLOOKUP(A87,Employees!A:Q,9,0),"")="NULL","",IF(A87&lt;&gt;"",VLOOKUP(A87,Employees!A:Q,9,0),""))</f>
        <v/>
      </c>
      <c r="G87" t="str">
        <f>IF(IF(A87&lt;&gt;"",VLOOKUP(A87,Employees!A:Q,10,0),"")="NULL","",IF(A87&lt;&gt;"",VLOOKUP(A87,Employees!A:Q,10,0),""))</f>
        <v/>
      </c>
      <c r="H87" t="str">
        <f>IF(IF(A87&lt;&gt;"",VLOOKUP(A87,Employees!A:Q,11,0),"")="NULL","",IF(A87&lt;&gt;"",VLOOKUP(A87,Employees!A:Q,11,0),""))</f>
        <v/>
      </c>
      <c r="I87" s="25" t="str">
        <f>IFERROR(VALUE(IF(IF(A87&lt;&gt;"",VLOOKUP(A87,Employees!A:Q,12,0),"")="NULL","",IF(A87&lt;&gt;"",VLOOKUP(A87,Employees!A:Q,12,0),""))),"")</f>
        <v/>
      </c>
      <c r="J87" t="str">
        <f>IF(IF(A87&lt;&gt;"",VLOOKUP(A87,Employees!A:Q,14,0),"")="NULL","",IF(A87&lt;&gt;"",VLOOKUP(A87,Employees!A:Q,14,0),""))</f>
        <v/>
      </c>
    </row>
    <row r="88" spans="2:10" x14ac:dyDescent="0.25">
      <c r="B88" t="str">
        <f>IF(A88&lt;&gt;"",VLOOKUP(A88,Employees!A:Q,2,0),"")</f>
        <v/>
      </c>
      <c r="C88" t="str">
        <f>IF(A88&lt;&gt;"",VLOOKUP(A88,Employees!A:Q,3,0),"")</f>
        <v/>
      </c>
      <c r="D88" s="17" t="str">
        <f>IF(IF(A88&lt;&gt;"",VLOOKUP(A88,Employees!A:Q,4,0),"")="NULL","",IF(A88&lt;&gt;"",VLOOKUP(A88,Employees!A:Q,4,0),""))</f>
        <v/>
      </c>
      <c r="E88" s="17" t="str">
        <f>IF(IF(A88&lt;&gt;"",VLOOKUP(A88,Employees!A:Q,5,0),"")="NULL","",IF(A88&lt;&gt;"",VLOOKUP(A88,Employees!A:Q,5,0),""))</f>
        <v/>
      </c>
      <c r="F88" t="str">
        <f>IF(IF(A88&lt;&gt;"",VLOOKUP(A88,Employees!A:Q,9,0),"")="NULL","",IF(A88&lt;&gt;"",VLOOKUP(A88,Employees!A:Q,9,0),""))</f>
        <v/>
      </c>
      <c r="G88" t="str">
        <f>IF(IF(A88&lt;&gt;"",VLOOKUP(A88,Employees!A:Q,10,0),"")="NULL","",IF(A88&lt;&gt;"",VLOOKUP(A88,Employees!A:Q,10,0),""))</f>
        <v/>
      </c>
      <c r="H88" t="str">
        <f>IF(IF(A88&lt;&gt;"",VLOOKUP(A88,Employees!A:Q,11,0),"")="NULL","",IF(A88&lt;&gt;"",VLOOKUP(A88,Employees!A:Q,11,0),""))</f>
        <v/>
      </c>
      <c r="I88" s="25" t="str">
        <f>IFERROR(VALUE(IF(IF(A88&lt;&gt;"",VLOOKUP(A88,Employees!A:Q,12,0),"")="NULL","",IF(A88&lt;&gt;"",VLOOKUP(A88,Employees!A:Q,12,0),""))),"")</f>
        <v/>
      </c>
      <c r="J88" t="str">
        <f>IF(IF(A88&lt;&gt;"",VLOOKUP(A88,Employees!A:Q,14,0),"")="NULL","",IF(A88&lt;&gt;"",VLOOKUP(A88,Employees!A:Q,14,0),""))</f>
        <v/>
      </c>
    </row>
    <row r="89" spans="2:10" x14ac:dyDescent="0.25">
      <c r="B89" t="str">
        <f>IF(A89&lt;&gt;"",VLOOKUP(A89,Employees!A:Q,2,0),"")</f>
        <v/>
      </c>
      <c r="C89" t="str">
        <f>IF(A89&lt;&gt;"",VLOOKUP(A89,Employees!A:Q,3,0),"")</f>
        <v/>
      </c>
      <c r="D89" s="17" t="str">
        <f>IF(IF(A89&lt;&gt;"",VLOOKUP(A89,Employees!A:Q,4,0),"")="NULL","",IF(A89&lt;&gt;"",VLOOKUP(A89,Employees!A:Q,4,0),""))</f>
        <v/>
      </c>
      <c r="E89" s="17" t="str">
        <f>IF(IF(A89&lt;&gt;"",VLOOKUP(A89,Employees!A:Q,5,0),"")="NULL","",IF(A89&lt;&gt;"",VLOOKUP(A89,Employees!A:Q,5,0),""))</f>
        <v/>
      </c>
      <c r="F89" t="str">
        <f>IF(IF(A89&lt;&gt;"",VLOOKUP(A89,Employees!A:Q,9,0),"")="NULL","",IF(A89&lt;&gt;"",VLOOKUP(A89,Employees!A:Q,9,0),""))</f>
        <v/>
      </c>
      <c r="G89" t="str">
        <f>IF(IF(A89&lt;&gt;"",VLOOKUP(A89,Employees!A:Q,10,0),"")="NULL","",IF(A89&lt;&gt;"",VLOOKUP(A89,Employees!A:Q,10,0),""))</f>
        <v/>
      </c>
      <c r="H89" t="str">
        <f>IF(IF(A89&lt;&gt;"",VLOOKUP(A89,Employees!A:Q,11,0),"")="NULL","",IF(A89&lt;&gt;"",VLOOKUP(A89,Employees!A:Q,11,0),""))</f>
        <v/>
      </c>
      <c r="I89" s="25" t="str">
        <f>IFERROR(VALUE(IF(IF(A89&lt;&gt;"",VLOOKUP(A89,Employees!A:Q,12,0),"")="NULL","",IF(A89&lt;&gt;"",VLOOKUP(A89,Employees!A:Q,12,0),""))),"")</f>
        <v/>
      </c>
      <c r="J89" t="str">
        <f>IF(IF(A89&lt;&gt;"",VLOOKUP(A89,Employees!A:Q,14,0),"")="NULL","",IF(A89&lt;&gt;"",VLOOKUP(A89,Employees!A:Q,14,0),""))</f>
        <v/>
      </c>
    </row>
    <row r="90" spans="2:10" x14ac:dyDescent="0.25">
      <c r="B90" t="str">
        <f>IF(A90&lt;&gt;"",VLOOKUP(A90,Employees!A:Q,2,0),"")</f>
        <v/>
      </c>
      <c r="C90" t="str">
        <f>IF(A90&lt;&gt;"",VLOOKUP(A90,Employees!A:Q,3,0),"")</f>
        <v/>
      </c>
      <c r="D90" s="17" t="str">
        <f>IF(IF(A90&lt;&gt;"",VLOOKUP(A90,Employees!A:Q,4,0),"")="NULL","",IF(A90&lt;&gt;"",VLOOKUP(A90,Employees!A:Q,4,0),""))</f>
        <v/>
      </c>
      <c r="E90" s="17" t="str">
        <f>IF(IF(A90&lt;&gt;"",VLOOKUP(A90,Employees!A:Q,5,0),"")="NULL","",IF(A90&lt;&gt;"",VLOOKUP(A90,Employees!A:Q,5,0),""))</f>
        <v/>
      </c>
      <c r="F90" t="str">
        <f>IF(IF(A90&lt;&gt;"",VLOOKUP(A90,Employees!A:Q,9,0),"")="NULL","",IF(A90&lt;&gt;"",VLOOKUP(A90,Employees!A:Q,9,0),""))</f>
        <v/>
      </c>
      <c r="G90" t="str">
        <f>IF(IF(A90&lt;&gt;"",VLOOKUP(A90,Employees!A:Q,10,0),"")="NULL","",IF(A90&lt;&gt;"",VLOOKUP(A90,Employees!A:Q,10,0),""))</f>
        <v/>
      </c>
      <c r="H90" t="str">
        <f>IF(IF(A90&lt;&gt;"",VLOOKUP(A90,Employees!A:Q,11,0),"")="NULL","",IF(A90&lt;&gt;"",VLOOKUP(A90,Employees!A:Q,11,0),""))</f>
        <v/>
      </c>
      <c r="I90" s="25" t="str">
        <f>IFERROR(VALUE(IF(IF(A90&lt;&gt;"",VLOOKUP(A90,Employees!A:Q,12,0),"")="NULL","",IF(A90&lt;&gt;"",VLOOKUP(A90,Employees!A:Q,12,0),""))),"")</f>
        <v/>
      </c>
      <c r="J90" t="str">
        <f>IF(IF(A90&lt;&gt;"",VLOOKUP(A90,Employees!A:Q,14,0),"")="NULL","",IF(A90&lt;&gt;"",VLOOKUP(A90,Employees!A:Q,14,0),""))</f>
        <v/>
      </c>
    </row>
    <row r="91" spans="2:10" x14ac:dyDescent="0.25">
      <c r="B91" t="str">
        <f>IF(A91&lt;&gt;"",VLOOKUP(A91,Employees!A:Q,2,0),"")</f>
        <v/>
      </c>
      <c r="C91" t="str">
        <f>IF(A91&lt;&gt;"",VLOOKUP(A91,Employees!A:Q,3,0),"")</f>
        <v/>
      </c>
      <c r="D91" s="17" t="str">
        <f>IF(IF(A91&lt;&gt;"",VLOOKUP(A91,Employees!A:Q,4,0),"")="NULL","",IF(A91&lt;&gt;"",VLOOKUP(A91,Employees!A:Q,4,0),""))</f>
        <v/>
      </c>
      <c r="E91" s="17" t="str">
        <f>IF(IF(A91&lt;&gt;"",VLOOKUP(A91,Employees!A:Q,5,0),"")="NULL","",IF(A91&lt;&gt;"",VLOOKUP(A91,Employees!A:Q,5,0),""))</f>
        <v/>
      </c>
      <c r="F91" t="str">
        <f>IF(IF(A91&lt;&gt;"",VLOOKUP(A91,Employees!A:Q,9,0),"")="NULL","",IF(A91&lt;&gt;"",VLOOKUP(A91,Employees!A:Q,9,0),""))</f>
        <v/>
      </c>
      <c r="G91" t="str">
        <f>IF(IF(A91&lt;&gt;"",VLOOKUP(A91,Employees!A:Q,10,0),"")="NULL","",IF(A91&lt;&gt;"",VLOOKUP(A91,Employees!A:Q,10,0),""))</f>
        <v/>
      </c>
      <c r="H91" t="str">
        <f>IF(IF(A91&lt;&gt;"",VLOOKUP(A91,Employees!A:Q,11,0),"")="NULL","",IF(A91&lt;&gt;"",VLOOKUP(A91,Employees!A:Q,11,0),""))</f>
        <v/>
      </c>
      <c r="I91" s="25" t="str">
        <f>IFERROR(VALUE(IF(IF(A91&lt;&gt;"",VLOOKUP(A91,Employees!A:Q,12,0),"")="NULL","",IF(A91&lt;&gt;"",VLOOKUP(A91,Employees!A:Q,12,0),""))),"")</f>
        <v/>
      </c>
      <c r="J91" t="str">
        <f>IF(IF(A91&lt;&gt;"",VLOOKUP(A91,Employees!A:Q,14,0),"")="NULL","",IF(A91&lt;&gt;"",VLOOKUP(A91,Employees!A:Q,14,0),""))</f>
        <v/>
      </c>
    </row>
    <row r="92" spans="2:10" x14ac:dyDescent="0.25">
      <c r="B92" t="str">
        <f>IF(A92&lt;&gt;"",VLOOKUP(A92,Employees!A:Q,2,0),"")</f>
        <v/>
      </c>
      <c r="C92" t="str">
        <f>IF(A92&lt;&gt;"",VLOOKUP(A92,Employees!A:Q,3,0),"")</f>
        <v/>
      </c>
      <c r="D92" s="17" t="str">
        <f>IF(IF(A92&lt;&gt;"",VLOOKUP(A92,Employees!A:Q,4,0),"")="NULL","",IF(A92&lt;&gt;"",VLOOKUP(A92,Employees!A:Q,4,0),""))</f>
        <v/>
      </c>
      <c r="E92" s="17" t="str">
        <f>IF(IF(A92&lt;&gt;"",VLOOKUP(A92,Employees!A:Q,5,0),"")="NULL","",IF(A92&lt;&gt;"",VLOOKUP(A92,Employees!A:Q,5,0),""))</f>
        <v/>
      </c>
      <c r="F92" t="str">
        <f>IF(IF(A92&lt;&gt;"",VLOOKUP(A92,Employees!A:Q,9,0),"")="NULL","",IF(A92&lt;&gt;"",VLOOKUP(A92,Employees!A:Q,9,0),""))</f>
        <v/>
      </c>
      <c r="G92" t="str">
        <f>IF(IF(A92&lt;&gt;"",VLOOKUP(A92,Employees!A:Q,10,0),"")="NULL","",IF(A92&lt;&gt;"",VLOOKUP(A92,Employees!A:Q,10,0),""))</f>
        <v/>
      </c>
      <c r="H92" t="str">
        <f>IF(IF(A92&lt;&gt;"",VLOOKUP(A92,Employees!A:Q,11,0),"")="NULL","",IF(A92&lt;&gt;"",VLOOKUP(A92,Employees!A:Q,11,0),""))</f>
        <v/>
      </c>
      <c r="I92" s="25" t="str">
        <f>IFERROR(VALUE(IF(IF(A92&lt;&gt;"",VLOOKUP(A92,Employees!A:Q,12,0),"")="NULL","",IF(A92&lt;&gt;"",VLOOKUP(A92,Employees!A:Q,12,0),""))),"")</f>
        <v/>
      </c>
      <c r="J92" t="str">
        <f>IF(IF(A92&lt;&gt;"",VLOOKUP(A92,Employees!A:Q,14,0),"")="NULL","",IF(A92&lt;&gt;"",VLOOKUP(A92,Employees!A:Q,14,0),""))</f>
        <v/>
      </c>
    </row>
    <row r="93" spans="2:10" x14ac:dyDescent="0.25">
      <c r="B93" t="str">
        <f>IF(A93&lt;&gt;"",VLOOKUP(A93,Employees!A:Q,2,0),"")</f>
        <v/>
      </c>
      <c r="C93" t="str">
        <f>IF(A93&lt;&gt;"",VLOOKUP(A93,Employees!A:Q,3,0),"")</f>
        <v/>
      </c>
      <c r="D93" s="17" t="str">
        <f>IF(IF(A93&lt;&gt;"",VLOOKUP(A93,Employees!A:Q,4,0),"")="NULL","",IF(A93&lt;&gt;"",VLOOKUP(A93,Employees!A:Q,4,0),""))</f>
        <v/>
      </c>
      <c r="E93" s="17" t="str">
        <f>IF(IF(A93&lt;&gt;"",VLOOKUP(A93,Employees!A:Q,5,0),"")="NULL","",IF(A93&lt;&gt;"",VLOOKUP(A93,Employees!A:Q,5,0),""))</f>
        <v/>
      </c>
      <c r="F93" t="str">
        <f>IF(IF(A93&lt;&gt;"",VLOOKUP(A93,Employees!A:Q,9,0),"")="NULL","",IF(A93&lt;&gt;"",VLOOKUP(A93,Employees!A:Q,9,0),""))</f>
        <v/>
      </c>
      <c r="G93" t="str">
        <f>IF(IF(A93&lt;&gt;"",VLOOKUP(A93,Employees!A:Q,10,0),"")="NULL","",IF(A93&lt;&gt;"",VLOOKUP(A93,Employees!A:Q,10,0),""))</f>
        <v/>
      </c>
      <c r="H93" t="str">
        <f>IF(IF(A93&lt;&gt;"",VLOOKUP(A93,Employees!A:Q,11,0),"")="NULL","",IF(A93&lt;&gt;"",VLOOKUP(A93,Employees!A:Q,11,0),""))</f>
        <v/>
      </c>
      <c r="I93" s="25" t="str">
        <f>IFERROR(VALUE(IF(IF(A93&lt;&gt;"",VLOOKUP(A93,Employees!A:Q,12,0),"")="NULL","",IF(A93&lt;&gt;"",VLOOKUP(A93,Employees!A:Q,12,0),""))),"")</f>
        <v/>
      </c>
      <c r="J93" t="str">
        <f>IF(IF(A93&lt;&gt;"",VLOOKUP(A93,Employees!A:Q,14,0),"")="NULL","",IF(A93&lt;&gt;"",VLOOKUP(A93,Employees!A:Q,14,0),""))</f>
        <v/>
      </c>
    </row>
    <row r="94" spans="2:10" x14ac:dyDescent="0.25">
      <c r="B94" t="str">
        <f>IF(A94&lt;&gt;"",VLOOKUP(A94,Employees!A:Q,2,0),"")</f>
        <v/>
      </c>
      <c r="C94" t="str">
        <f>IF(A94&lt;&gt;"",VLOOKUP(A94,Employees!A:Q,3,0),"")</f>
        <v/>
      </c>
      <c r="D94" s="17" t="str">
        <f>IF(IF(A94&lt;&gt;"",VLOOKUP(A94,Employees!A:Q,4,0),"")="NULL","",IF(A94&lt;&gt;"",VLOOKUP(A94,Employees!A:Q,4,0),""))</f>
        <v/>
      </c>
      <c r="E94" s="17" t="str">
        <f>IF(IF(A94&lt;&gt;"",VLOOKUP(A94,Employees!A:Q,5,0),"")="NULL","",IF(A94&lt;&gt;"",VLOOKUP(A94,Employees!A:Q,5,0),""))</f>
        <v/>
      </c>
      <c r="F94" t="str">
        <f>IF(IF(A94&lt;&gt;"",VLOOKUP(A94,Employees!A:Q,9,0),"")="NULL","",IF(A94&lt;&gt;"",VLOOKUP(A94,Employees!A:Q,9,0),""))</f>
        <v/>
      </c>
      <c r="G94" t="str">
        <f>IF(IF(A94&lt;&gt;"",VLOOKUP(A94,Employees!A:Q,10,0),"")="NULL","",IF(A94&lt;&gt;"",VLOOKUP(A94,Employees!A:Q,10,0),""))</f>
        <v/>
      </c>
      <c r="H94" t="str">
        <f>IF(IF(A94&lt;&gt;"",VLOOKUP(A94,Employees!A:Q,11,0),"")="NULL","",IF(A94&lt;&gt;"",VLOOKUP(A94,Employees!A:Q,11,0),""))</f>
        <v/>
      </c>
      <c r="I94" s="25" t="str">
        <f>IFERROR(VALUE(IF(IF(A94&lt;&gt;"",VLOOKUP(A94,Employees!A:Q,12,0),"")="NULL","",IF(A94&lt;&gt;"",VLOOKUP(A94,Employees!A:Q,12,0),""))),"")</f>
        <v/>
      </c>
      <c r="J94" t="str">
        <f>IF(IF(A94&lt;&gt;"",VLOOKUP(A94,Employees!A:Q,14,0),"")="NULL","",IF(A94&lt;&gt;"",VLOOKUP(A94,Employees!A:Q,14,0),""))</f>
        <v/>
      </c>
    </row>
    <row r="95" spans="2:10" x14ac:dyDescent="0.25">
      <c r="B95" t="str">
        <f>IF(A95&lt;&gt;"",VLOOKUP(A95,Employees!A:Q,2,0),"")</f>
        <v/>
      </c>
      <c r="C95" t="str">
        <f>IF(A95&lt;&gt;"",VLOOKUP(A95,Employees!A:Q,3,0),"")</f>
        <v/>
      </c>
      <c r="D95" s="17" t="str">
        <f>IF(IF(A95&lt;&gt;"",VLOOKUP(A95,Employees!A:Q,4,0),"")="NULL","",IF(A95&lt;&gt;"",VLOOKUP(A95,Employees!A:Q,4,0),""))</f>
        <v/>
      </c>
      <c r="E95" s="17" t="str">
        <f>IF(IF(A95&lt;&gt;"",VLOOKUP(A95,Employees!A:Q,5,0),"")="NULL","",IF(A95&lt;&gt;"",VLOOKUP(A95,Employees!A:Q,5,0),""))</f>
        <v/>
      </c>
      <c r="F95" t="str">
        <f>IF(IF(A95&lt;&gt;"",VLOOKUP(A95,Employees!A:Q,9,0),"")="NULL","",IF(A95&lt;&gt;"",VLOOKUP(A95,Employees!A:Q,9,0),""))</f>
        <v/>
      </c>
      <c r="G95" t="str">
        <f>IF(IF(A95&lt;&gt;"",VLOOKUP(A95,Employees!A:Q,10,0),"")="NULL","",IF(A95&lt;&gt;"",VLOOKUP(A95,Employees!A:Q,10,0),""))</f>
        <v/>
      </c>
      <c r="H95" t="str">
        <f>IF(IF(A95&lt;&gt;"",VLOOKUP(A95,Employees!A:Q,11,0),"")="NULL","",IF(A95&lt;&gt;"",VLOOKUP(A95,Employees!A:Q,11,0),""))</f>
        <v/>
      </c>
      <c r="I95" s="25" t="str">
        <f>IFERROR(VALUE(IF(IF(A95&lt;&gt;"",VLOOKUP(A95,Employees!A:Q,12,0),"")="NULL","",IF(A95&lt;&gt;"",VLOOKUP(A95,Employees!A:Q,12,0),""))),"")</f>
        <v/>
      </c>
      <c r="J95" t="str">
        <f>IF(IF(A95&lt;&gt;"",VLOOKUP(A95,Employees!A:Q,14,0),"")="NULL","",IF(A95&lt;&gt;"",VLOOKUP(A95,Employees!A:Q,14,0),""))</f>
        <v/>
      </c>
    </row>
    <row r="96" spans="2:10" x14ac:dyDescent="0.25">
      <c r="B96" t="str">
        <f>IF(A96&lt;&gt;"",VLOOKUP(A96,Employees!A:Q,2,0),"")</f>
        <v/>
      </c>
      <c r="C96" t="str">
        <f>IF(A96&lt;&gt;"",VLOOKUP(A96,Employees!A:Q,3,0),"")</f>
        <v/>
      </c>
      <c r="D96" s="17" t="str">
        <f>IF(IF(A96&lt;&gt;"",VLOOKUP(A96,Employees!A:Q,4,0),"")="NULL","",IF(A96&lt;&gt;"",VLOOKUP(A96,Employees!A:Q,4,0),""))</f>
        <v/>
      </c>
      <c r="E96" s="17" t="str">
        <f>IF(IF(A96&lt;&gt;"",VLOOKUP(A96,Employees!A:Q,5,0),"")="NULL","",IF(A96&lt;&gt;"",VLOOKUP(A96,Employees!A:Q,5,0),""))</f>
        <v/>
      </c>
      <c r="F96" t="str">
        <f>IF(IF(A96&lt;&gt;"",VLOOKUP(A96,Employees!A:Q,9,0),"")="NULL","",IF(A96&lt;&gt;"",VLOOKUP(A96,Employees!A:Q,9,0),""))</f>
        <v/>
      </c>
      <c r="G96" t="str">
        <f>IF(IF(A96&lt;&gt;"",VLOOKUP(A96,Employees!A:Q,10,0),"")="NULL","",IF(A96&lt;&gt;"",VLOOKUP(A96,Employees!A:Q,10,0),""))</f>
        <v/>
      </c>
      <c r="H96" t="str">
        <f>IF(IF(A96&lt;&gt;"",VLOOKUP(A96,Employees!A:Q,11,0),"")="NULL","",IF(A96&lt;&gt;"",VLOOKUP(A96,Employees!A:Q,11,0),""))</f>
        <v/>
      </c>
      <c r="I96" s="25" t="str">
        <f>IFERROR(VALUE(IF(IF(A96&lt;&gt;"",VLOOKUP(A96,Employees!A:Q,12,0),"")="NULL","",IF(A96&lt;&gt;"",VLOOKUP(A96,Employees!A:Q,12,0),""))),"")</f>
        <v/>
      </c>
      <c r="J96" t="str">
        <f>IF(IF(A96&lt;&gt;"",VLOOKUP(A96,Employees!A:Q,14,0),"")="NULL","",IF(A96&lt;&gt;"",VLOOKUP(A96,Employees!A:Q,14,0),""))</f>
        <v/>
      </c>
    </row>
    <row r="97" spans="2:10" x14ac:dyDescent="0.25">
      <c r="B97" t="str">
        <f>IF(A97&lt;&gt;"",VLOOKUP(A97,Employees!A:Q,2,0),"")</f>
        <v/>
      </c>
      <c r="C97" t="str">
        <f>IF(A97&lt;&gt;"",VLOOKUP(A97,Employees!A:Q,3,0),"")</f>
        <v/>
      </c>
      <c r="D97" s="17" t="str">
        <f>IF(IF(A97&lt;&gt;"",VLOOKUP(A97,Employees!A:Q,4,0),"")="NULL","",IF(A97&lt;&gt;"",VLOOKUP(A97,Employees!A:Q,4,0),""))</f>
        <v/>
      </c>
      <c r="E97" s="17" t="str">
        <f>IF(IF(A97&lt;&gt;"",VLOOKUP(A97,Employees!A:Q,5,0),"")="NULL","",IF(A97&lt;&gt;"",VLOOKUP(A97,Employees!A:Q,5,0),""))</f>
        <v/>
      </c>
      <c r="F97" t="str">
        <f>IF(IF(A97&lt;&gt;"",VLOOKUP(A97,Employees!A:Q,9,0),"")="NULL","",IF(A97&lt;&gt;"",VLOOKUP(A97,Employees!A:Q,9,0),""))</f>
        <v/>
      </c>
      <c r="G97" t="str">
        <f>IF(IF(A97&lt;&gt;"",VLOOKUP(A97,Employees!A:Q,10,0),"")="NULL","",IF(A97&lt;&gt;"",VLOOKUP(A97,Employees!A:Q,10,0),""))</f>
        <v/>
      </c>
      <c r="H97" t="str">
        <f>IF(IF(A97&lt;&gt;"",VLOOKUP(A97,Employees!A:Q,11,0),"")="NULL","",IF(A97&lt;&gt;"",VLOOKUP(A97,Employees!A:Q,11,0),""))</f>
        <v/>
      </c>
      <c r="I97" s="25" t="str">
        <f>IFERROR(VALUE(IF(IF(A97&lt;&gt;"",VLOOKUP(A97,Employees!A:Q,12,0),"")="NULL","",IF(A97&lt;&gt;"",VLOOKUP(A97,Employees!A:Q,12,0),""))),"")</f>
        <v/>
      </c>
      <c r="J97" t="str">
        <f>IF(IF(A97&lt;&gt;"",VLOOKUP(A97,Employees!A:Q,14,0),"")="NULL","",IF(A97&lt;&gt;"",VLOOKUP(A97,Employees!A:Q,14,0),""))</f>
        <v/>
      </c>
    </row>
    <row r="98" spans="2:10" x14ac:dyDescent="0.25">
      <c r="B98" t="str">
        <f>IF(A98&lt;&gt;"",VLOOKUP(A98,Employees!A:Q,2,0),"")</f>
        <v/>
      </c>
      <c r="C98" t="str">
        <f>IF(A98&lt;&gt;"",VLOOKUP(A98,Employees!A:Q,3,0),"")</f>
        <v/>
      </c>
      <c r="D98" s="17" t="str">
        <f>IF(IF(A98&lt;&gt;"",VLOOKUP(A98,Employees!A:Q,4,0),"")="NULL","",IF(A98&lt;&gt;"",VLOOKUP(A98,Employees!A:Q,4,0),""))</f>
        <v/>
      </c>
      <c r="E98" s="17" t="str">
        <f>IF(IF(A98&lt;&gt;"",VLOOKUP(A98,Employees!A:Q,5,0),"")="NULL","",IF(A98&lt;&gt;"",VLOOKUP(A98,Employees!A:Q,5,0),""))</f>
        <v/>
      </c>
      <c r="F98" t="str">
        <f>IF(IF(A98&lt;&gt;"",VLOOKUP(A98,Employees!A:Q,9,0),"")="NULL","",IF(A98&lt;&gt;"",VLOOKUP(A98,Employees!A:Q,9,0),""))</f>
        <v/>
      </c>
      <c r="G98" t="str">
        <f>IF(IF(A98&lt;&gt;"",VLOOKUP(A98,Employees!A:Q,10,0),"")="NULL","",IF(A98&lt;&gt;"",VLOOKUP(A98,Employees!A:Q,10,0),""))</f>
        <v/>
      </c>
      <c r="H98" t="str">
        <f>IF(IF(A98&lt;&gt;"",VLOOKUP(A98,Employees!A:Q,11,0),"")="NULL","",IF(A98&lt;&gt;"",VLOOKUP(A98,Employees!A:Q,11,0),""))</f>
        <v/>
      </c>
      <c r="I98" s="25" t="str">
        <f>IFERROR(VALUE(IF(IF(A98&lt;&gt;"",VLOOKUP(A98,Employees!A:Q,12,0),"")="NULL","",IF(A98&lt;&gt;"",VLOOKUP(A98,Employees!A:Q,12,0),""))),"")</f>
        <v/>
      </c>
      <c r="J98" t="str">
        <f>IF(IF(A98&lt;&gt;"",VLOOKUP(A98,Employees!A:Q,14,0),"")="NULL","",IF(A98&lt;&gt;"",VLOOKUP(A98,Employees!A:Q,14,0),""))</f>
        <v/>
      </c>
    </row>
    <row r="99" spans="2:10" x14ac:dyDescent="0.25">
      <c r="B99" t="str">
        <f>IF(A99&lt;&gt;"",VLOOKUP(A99,Employees!A:Q,2,0),"")</f>
        <v/>
      </c>
      <c r="C99" t="str">
        <f>IF(A99&lt;&gt;"",VLOOKUP(A99,Employees!A:Q,3,0),"")</f>
        <v/>
      </c>
      <c r="D99" s="17" t="str">
        <f>IF(IF(A99&lt;&gt;"",VLOOKUP(A99,Employees!A:Q,4,0),"")="NULL","",IF(A99&lt;&gt;"",VLOOKUP(A99,Employees!A:Q,4,0),""))</f>
        <v/>
      </c>
      <c r="E99" s="17" t="str">
        <f>IF(IF(A99&lt;&gt;"",VLOOKUP(A99,Employees!A:Q,5,0),"")="NULL","",IF(A99&lt;&gt;"",VLOOKUP(A99,Employees!A:Q,5,0),""))</f>
        <v/>
      </c>
      <c r="F99" t="str">
        <f>IF(IF(A99&lt;&gt;"",VLOOKUP(A99,Employees!A:Q,9,0),"")="NULL","",IF(A99&lt;&gt;"",VLOOKUP(A99,Employees!A:Q,9,0),""))</f>
        <v/>
      </c>
      <c r="G99" t="str">
        <f>IF(IF(A99&lt;&gt;"",VLOOKUP(A99,Employees!A:Q,10,0),"")="NULL","",IF(A99&lt;&gt;"",VLOOKUP(A99,Employees!A:Q,10,0),""))</f>
        <v/>
      </c>
      <c r="H99" t="str">
        <f>IF(IF(A99&lt;&gt;"",VLOOKUP(A99,Employees!A:Q,11,0),"")="NULL","",IF(A99&lt;&gt;"",VLOOKUP(A99,Employees!A:Q,11,0),""))</f>
        <v/>
      </c>
      <c r="I99" s="25" t="str">
        <f>IFERROR(VALUE(IF(IF(A99&lt;&gt;"",VLOOKUP(A99,Employees!A:Q,12,0),"")="NULL","",IF(A99&lt;&gt;"",VLOOKUP(A99,Employees!A:Q,12,0),""))),"")</f>
        <v/>
      </c>
      <c r="J99" t="str">
        <f>IF(IF(A99&lt;&gt;"",VLOOKUP(A99,Employees!A:Q,14,0),"")="NULL","",IF(A99&lt;&gt;"",VLOOKUP(A99,Employees!A:Q,14,0),""))</f>
        <v/>
      </c>
    </row>
    <row r="100" spans="2:10" x14ac:dyDescent="0.25">
      <c r="B100" t="str">
        <f>IF(A100&lt;&gt;"",VLOOKUP(A100,Employees!A:Q,2,0),"")</f>
        <v/>
      </c>
      <c r="C100" t="str">
        <f>IF(A100&lt;&gt;"",VLOOKUP(A100,Employees!A:Q,3,0),"")</f>
        <v/>
      </c>
      <c r="D100" s="17" t="str">
        <f>IF(IF(A100&lt;&gt;"",VLOOKUP(A100,Employees!A:Q,4,0),"")="NULL","",IF(A100&lt;&gt;"",VLOOKUP(A100,Employees!A:Q,4,0),""))</f>
        <v/>
      </c>
      <c r="E100" s="17" t="str">
        <f>IF(IF(A100&lt;&gt;"",VLOOKUP(A100,Employees!A:Q,5,0),"")="NULL","",IF(A100&lt;&gt;"",VLOOKUP(A100,Employees!A:Q,5,0),""))</f>
        <v/>
      </c>
      <c r="F100" t="str">
        <f>IF(IF(A100&lt;&gt;"",VLOOKUP(A100,Employees!A:Q,9,0),"")="NULL","",IF(A100&lt;&gt;"",VLOOKUP(A100,Employees!A:Q,9,0),""))</f>
        <v/>
      </c>
      <c r="G100" t="str">
        <f>IF(IF(A100&lt;&gt;"",VLOOKUP(A100,Employees!A:Q,10,0),"")="NULL","",IF(A100&lt;&gt;"",VLOOKUP(A100,Employees!A:Q,10,0),""))</f>
        <v/>
      </c>
      <c r="H100" t="str">
        <f>IF(IF(A100&lt;&gt;"",VLOOKUP(A100,Employees!A:Q,11,0),"")="NULL","",IF(A100&lt;&gt;"",VLOOKUP(A100,Employees!A:Q,11,0),""))</f>
        <v/>
      </c>
      <c r="I100" s="25" t="str">
        <f>IFERROR(VALUE(IF(IF(A100&lt;&gt;"",VLOOKUP(A100,Employees!A:Q,12,0),"")="NULL","",IF(A100&lt;&gt;"",VLOOKUP(A100,Employees!A:Q,12,0),""))),"")</f>
        <v/>
      </c>
      <c r="J100" t="str">
        <f>IF(IF(A100&lt;&gt;"",VLOOKUP(A100,Employees!A:Q,14,0),"")="NULL","",IF(A100&lt;&gt;"",VLOOKUP(A100,Employees!A:Q,14,0),""))</f>
        <v/>
      </c>
    </row>
    <row r="101" spans="2:10" x14ac:dyDescent="0.25">
      <c r="B101" t="str">
        <f>IF(A101&lt;&gt;"",VLOOKUP(A101,Employees!A:Q,2,0),"")</f>
        <v/>
      </c>
      <c r="C101" t="str">
        <f>IF(A101&lt;&gt;"",VLOOKUP(A101,Employees!A:Q,3,0),"")</f>
        <v/>
      </c>
      <c r="D101" s="17" t="str">
        <f>IF(IF(A101&lt;&gt;"",VLOOKUP(A101,Employees!A:Q,4,0),"")="NULL","",IF(A101&lt;&gt;"",VLOOKUP(A101,Employees!A:Q,4,0),""))</f>
        <v/>
      </c>
      <c r="E101" s="17" t="str">
        <f>IF(IF(A101&lt;&gt;"",VLOOKUP(A101,Employees!A:Q,5,0),"")="NULL","",IF(A101&lt;&gt;"",VLOOKUP(A101,Employees!A:Q,5,0),""))</f>
        <v/>
      </c>
      <c r="F101" t="str">
        <f>IF(IF(A101&lt;&gt;"",VLOOKUP(A101,Employees!A:Q,9,0),"")="NULL","",IF(A101&lt;&gt;"",VLOOKUP(A101,Employees!A:Q,9,0),""))</f>
        <v/>
      </c>
      <c r="G101" t="str">
        <f>IF(IF(A101&lt;&gt;"",VLOOKUP(A101,Employees!A:Q,10,0),"")="NULL","",IF(A101&lt;&gt;"",VLOOKUP(A101,Employees!A:Q,10,0),""))</f>
        <v/>
      </c>
      <c r="H101" t="str">
        <f>IF(IF(A101&lt;&gt;"",VLOOKUP(A101,Employees!A:Q,11,0),"")="NULL","",IF(A101&lt;&gt;"",VLOOKUP(A101,Employees!A:Q,11,0),""))</f>
        <v/>
      </c>
      <c r="I101" s="25" t="str">
        <f>IFERROR(VALUE(IF(IF(A101&lt;&gt;"",VLOOKUP(A101,Employees!A:Q,12,0),"")="NULL","",IF(A101&lt;&gt;"",VLOOKUP(A101,Employees!A:Q,12,0),""))),"")</f>
        <v/>
      </c>
      <c r="J101" t="str">
        <f>IF(IF(A101&lt;&gt;"",VLOOKUP(A101,Employees!A:Q,14,0),"")="NULL","",IF(A101&lt;&gt;"",VLOOKUP(A101,Employees!A:Q,14,0),""))</f>
        <v/>
      </c>
    </row>
    <row r="102" spans="2:10" x14ac:dyDescent="0.25">
      <c r="B102" t="str">
        <f>IF(A102&lt;&gt;"",VLOOKUP(A102,Employees!A:Q,2,0),"")</f>
        <v/>
      </c>
      <c r="C102" t="str">
        <f>IF(A102&lt;&gt;"",VLOOKUP(A102,Employees!A:Q,3,0),"")</f>
        <v/>
      </c>
      <c r="D102" s="17" t="str">
        <f>IF(IF(A102&lt;&gt;"",VLOOKUP(A102,Employees!A:Q,4,0),"")="NULL","",IF(A102&lt;&gt;"",VLOOKUP(A102,Employees!A:Q,4,0),""))</f>
        <v/>
      </c>
      <c r="E102" s="17" t="str">
        <f>IF(IF(A102&lt;&gt;"",VLOOKUP(A102,Employees!A:Q,5,0),"")="NULL","",IF(A102&lt;&gt;"",VLOOKUP(A102,Employees!A:Q,5,0),""))</f>
        <v/>
      </c>
      <c r="F102" t="str">
        <f>IF(IF(A102&lt;&gt;"",VLOOKUP(A102,Employees!A:Q,9,0),"")="NULL","",IF(A102&lt;&gt;"",VLOOKUP(A102,Employees!A:Q,9,0),""))</f>
        <v/>
      </c>
      <c r="G102" t="str">
        <f>IF(IF(A102&lt;&gt;"",VLOOKUP(A102,Employees!A:Q,10,0),"")="NULL","",IF(A102&lt;&gt;"",VLOOKUP(A102,Employees!A:Q,10,0),""))</f>
        <v/>
      </c>
      <c r="H102" t="str">
        <f>IF(IF(A102&lt;&gt;"",VLOOKUP(A102,Employees!A:Q,11,0),"")="NULL","",IF(A102&lt;&gt;"",VLOOKUP(A102,Employees!A:Q,11,0),""))</f>
        <v/>
      </c>
      <c r="I102" s="25" t="str">
        <f>IFERROR(VALUE(IF(IF(A102&lt;&gt;"",VLOOKUP(A102,Employees!A:Q,12,0),"")="NULL","",IF(A102&lt;&gt;"",VLOOKUP(A102,Employees!A:Q,12,0),""))),"")</f>
        <v/>
      </c>
      <c r="J102" t="str">
        <f>IF(IF(A102&lt;&gt;"",VLOOKUP(A102,Employees!A:Q,14,0),"")="NULL","",IF(A102&lt;&gt;"",VLOOKUP(A102,Employees!A:Q,14,0),""))</f>
        <v/>
      </c>
    </row>
    <row r="103" spans="2:10" x14ac:dyDescent="0.25">
      <c r="B103" t="str">
        <f>IF(A103&lt;&gt;"",VLOOKUP(A103,Employees!A:Q,2,0),"")</f>
        <v/>
      </c>
      <c r="C103" t="str">
        <f>IF(A103&lt;&gt;"",VLOOKUP(A103,Employees!A:Q,3,0),"")</f>
        <v/>
      </c>
      <c r="D103" s="17" t="str">
        <f>IF(IF(A103&lt;&gt;"",VLOOKUP(A103,Employees!A:Q,4,0),"")="NULL","",IF(A103&lt;&gt;"",VLOOKUP(A103,Employees!A:Q,4,0),""))</f>
        <v/>
      </c>
      <c r="E103" s="17" t="str">
        <f>IF(IF(A103&lt;&gt;"",VLOOKUP(A103,Employees!A:Q,5,0),"")="NULL","",IF(A103&lt;&gt;"",VLOOKUP(A103,Employees!A:Q,5,0),""))</f>
        <v/>
      </c>
      <c r="F103" t="str">
        <f>IF(IF(A103&lt;&gt;"",VLOOKUP(A103,Employees!A:Q,9,0),"")="NULL","",IF(A103&lt;&gt;"",VLOOKUP(A103,Employees!A:Q,9,0),""))</f>
        <v/>
      </c>
      <c r="G103" t="str">
        <f>IF(IF(A103&lt;&gt;"",VLOOKUP(A103,Employees!A:Q,10,0),"")="NULL","",IF(A103&lt;&gt;"",VLOOKUP(A103,Employees!A:Q,10,0),""))</f>
        <v/>
      </c>
      <c r="H103" t="str">
        <f>IF(IF(A103&lt;&gt;"",VLOOKUP(A103,Employees!A:Q,11,0),"")="NULL","",IF(A103&lt;&gt;"",VLOOKUP(A103,Employees!A:Q,11,0),""))</f>
        <v/>
      </c>
      <c r="I103" s="25" t="str">
        <f>IFERROR(VALUE(IF(IF(A103&lt;&gt;"",VLOOKUP(A103,Employees!A:Q,12,0),"")="NULL","",IF(A103&lt;&gt;"",VLOOKUP(A103,Employees!A:Q,12,0),""))),"")</f>
        <v/>
      </c>
      <c r="J103" t="str">
        <f>IF(IF(A103&lt;&gt;"",VLOOKUP(A103,Employees!A:Q,14,0),"")="NULL","",IF(A103&lt;&gt;"",VLOOKUP(A103,Employees!A:Q,14,0),""))</f>
        <v/>
      </c>
    </row>
    <row r="104" spans="2:10" x14ac:dyDescent="0.25">
      <c r="B104" t="str">
        <f>IF(A104&lt;&gt;"",VLOOKUP(A104,Employees!A:Q,2,0),"")</f>
        <v/>
      </c>
      <c r="C104" t="str">
        <f>IF(A104&lt;&gt;"",VLOOKUP(A104,Employees!A:Q,3,0),"")</f>
        <v/>
      </c>
      <c r="D104" s="17" t="str">
        <f>IF(IF(A104&lt;&gt;"",VLOOKUP(A104,Employees!A:Q,4,0),"")="NULL","",IF(A104&lt;&gt;"",VLOOKUP(A104,Employees!A:Q,4,0),""))</f>
        <v/>
      </c>
      <c r="E104" s="17" t="str">
        <f>IF(IF(A104&lt;&gt;"",VLOOKUP(A104,Employees!A:Q,5,0),"")="NULL","",IF(A104&lt;&gt;"",VLOOKUP(A104,Employees!A:Q,5,0),""))</f>
        <v/>
      </c>
      <c r="F104" t="str">
        <f>IF(IF(A104&lt;&gt;"",VLOOKUP(A104,Employees!A:Q,9,0),"")="NULL","",IF(A104&lt;&gt;"",VLOOKUP(A104,Employees!A:Q,9,0),""))</f>
        <v/>
      </c>
      <c r="G104" t="str">
        <f>IF(IF(A104&lt;&gt;"",VLOOKUP(A104,Employees!A:Q,10,0),"")="NULL","",IF(A104&lt;&gt;"",VLOOKUP(A104,Employees!A:Q,10,0),""))</f>
        <v/>
      </c>
      <c r="H104" t="str">
        <f>IF(IF(A104&lt;&gt;"",VLOOKUP(A104,Employees!A:Q,11,0),"")="NULL","",IF(A104&lt;&gt;"",VLOOKUP(A104,Employees!A:Q,11,0),""))</f>
        <v/>
      </c>
      <c r="I104" s="25" t="str">
        <f>IFERROR(VALUE(IF(IF(A104&lt;&gt;"",VLOOKUP(A104,Employees!A:Q,12,0),"")="NULL","",IF(A104&lt;&gt;"",VLOOKUP(A104,Employees!A:Q,12,0),""))),"")</f>
        <v/>
      </c>
      <c r="J104" t="str">
        <f>IF(IF(A104&lt;&gt;"",VLOOKUP(A104,Employees!A:Q,14,0),"")="NULL","",IF(A104&lt;&gt;"",VLOOKUP(A104,Employees!A:Q,14,0),""))</f>
        <v/>
      </c>
    </row>
    <row r="105" spans="2:10" x14ac:dyDescent="0.25">
      <c r="B105" t="str">
        <f>IF(A105&lt;&gt;"",VLOOKUP(A105,Employees!A:Q,2,0),"")</f>
        <v/>
      </c>
      <c r="C105" t="str">
        <f>IF(A105&lt;&gt;"",VLOOKUP(A105,Employees!A:Q,3,0),"")</f>
        <v/>
      </c>
      <c r="D105" s="17" t="str">
        <f>IF(IF(A105&lt;&gt;"",VLOOKUP(A105,Employees!A:Q,4,0),"")="NULL","",IF(A105&lt;&gt;"",VLOOKUP(A105,Employees!A:Q,4,0),""))</f>
        <v/>
      </c>
      <c r="E105" s="17" t="str">
        <f>IF(IF(A105&lt;&gt;"",VLOOKUP(A105,Employees!A:Q,5,0),"")="NULL","",IF(A105&lt;&gt;"",VLOOKUP(A105,Employees!A:Q,5,0),""))</f>
        <v/>
      </c>
      <c r="F105" t="str">
        <f>IF(IF(A105&lt;&gt;"",VLOOKUP(A105,Employees!A:Q,9,0),"")="NULL","",IF(A105&lt;&gt;"",VLOOKUP(A105,Employees!A:Q,9,0),""))</f>
        <v/>
      </c>
      <c r="G105" t="str">
        <f>IF(IF(A105&lt;&gt;"",VLOOKUP(A105,Employees!A:Q,10,0),"")="NULL","",IF(A105&lt;&gt;"",VLOOKUP(A105,Employees!A:Q,10,0),""))</f>
        <v/>
      </c>
      <c r="H105" t="str">
        <f>IF(IF(A105&lt;&gt;"",VLOOKUP(A105,Employees!A:Q,11,0),"")="NULL","",IF(A105&lt;&gt;"",VLOOKUP(A105,Employees!A:Q,11,0),""))</f>
        <v/>
      </c>
      <c r="I105" s="25" t="str">
        <f>IFERROR(VALUE(IF(IF(A105&lt;&gt;"",VLOOKUP(A105,Employees!A:Q,12,0),"")="NULL","",IF(A105&lt;&gt;"",VLOOKUP(A105,Employees!A:Q,12,0),""))),"")</f>
        <v/>
      </c>
      <c r="J105" t="str">
        <f>IF(IF(A105&lt;&gt;"",VLOOKUP(A105,Employees!A:Q,14,0),"")="NULL","",IF(A105&lt;&gt;"",VLOOKUP(A105,Employees!A:Q,14,0),""))</f>
        <v/>
      </c>
    </row>
    <row r="106" spans="2:10" x14ac:dyDescent="0.25">
      <c r="B106" t="str">
        <f>IF(A106&lt;&gt;"",VLOOKUP(A106,Employees!A:Q,2,0),"")</f>
        <v/>
      </c>
      <c r="C106" t="str">
        <f>IF(A106&lt;&gt;"",VLOOKUP(A106,Employees!A:Q,3,0),"")</f>
        <v/>
      </c>
      <c r="D106" s="17" t="str">
        <f>IF(IF(A106&lt;&gt;"",VLOOKUP(A106,Employees!A:Q,4,0),"")="NULL","",IF(A106&lt;&gt;"",VLOOKUP(A106,Employees!A:Q,4,0),""))</f>
        <v/>
      </c>
      <c r="E106" s="17" t="str">
        <f>IF(IF(A106&lt;&gt;"",VLOOKUP(A106,Employees!A:Q,5,0),"")="NULL","",IF(A106&lt;&gt;"",VLOOKUP(A106,Employees!A:Q,5,0),""))</f>
        <v/>
      </c>
      <c r="F106" t="str">
        <f>IF(IF(A106&lt;&gt;"",VLOOKUP(A106,Employees!A:Q,9,0),"")="NULL","",IF(A106&lt;&gt;"",VLOOKUP(A106,Employees!A:Q,9,0),""))</f>
        <v/>
      </c>
      <c r="G106" t="str">
        <f>IF(IF(A106&lt;&gt;"",VLOOKUP(A106,Employees!A:Q,10,0),"")="NULL","",IF(A106&lt;&gt;"",VLOOKUP(A106,Employees!A:Q,10,0),""))</f>
        <v/>
      </c>
      <c r="H106" t="str">
        <f>IF(IF(A106&lt;&gt;"",VLOOKUP(A106,Employees!A:Q,11,0),"")="NULL","",IF(A106&lt;&gt;"",VLOOKUP(A106,Employees!A:Q,11,0),""))</f>
        <v/>
      </c>
      <c r="I106" s="25" t="str">
        <f>IFERROR(VALUE(IF(IF(A106&lt;&gt;"",VLOOKUP(A106,Employees!A:Q,12,0),"")="NULL","",IF(A106&lt;&gt;"",VLOOKUP(A106,Employees!A:Q,12,0),""))),"")</f>
        <v/>
      </c>
      <c r="J106" t="str">
        <f>IF(IF(A106&lt;&gt;"",VLOOKUP(A106,Employees!A:Q,14,0),"")="NULL","",IF(A106&lt;&gt;"",VLOOKUP(A106,Employees!A:Q,14,0),""))</f>
        <v/>
      </c>
    </row>
    <row r="107" spans="2:10" x14ac:dyDescent="0.25">
      <c r="B107" t="str">
        <f>IF(A107&lt;&gt;"",VLOOKUP(A107,Employees!A:Q,2,0),"")</f>
        <v/>
      </c>
      <c r="C107" t="str">
        <f>IF(A107&lt;&gt;"",VLOOKUP(A107,Employees!A:Q,3,0),"")</f>
        <v/>
      </c>
      <c r="D107" s="17" t="str">
        <f>IF(IF(A107&lt;&gt;"",VLOOKUP(A107,Employees!A:Q,4,0),"")="NULL","",IF(A107&lt;&gt;"",VLOOKUP(A107,Employees!A:Q,4,0),""))</f>
        <v/>
      </c>
      <c r="E107" s="17" t="str">
        <f>IF(IF(A107&lt;&gt;"",VLOOKUP(A107,Employees!A:Q,5,0),"")="NULL","",IF(A107&lt;&gt;"",VLOOKUP(A107,Employees!A:Q,5,0),""))</f>
        <v/>
      </c>
      <c r="F107" t="str">
        <f>IF(IF(A107&lt;&gt;"",VLOOKUP(A107,Employees!A:Q,9,0),"")="NULL","",IF(A107&lt;&gt;"",VLOOKUP(A107,Employees!A:Q,9,0),""))</f>
        <v/>
      </c>
      <c r="G107" t="str">
        <f>IF(IF(A107&lt;&gt;"",VLOOKUP(A107,Employees!A:Q,10,0),"")="NULL","",IF(A107&lt;&gt;"",VLOOKUP(A107,Employees!A:Q,10,0),""))</f>
        <v/>
      </c>
      <c r="H107" t="str">
        <f>IF(IF(A107&lt;&gt;"",VLOOKUP(A107,Employees!A:Q,11,0),"")="NULL","",IF(A107&lt;&gt;"",VLOOKUP(A107,Employees!A:Q,11,0),""))</f>
        <v/>
      </c>
      <c r="I107" s="25" t="str">
        <f>IFERROR(VALUE(IF(IF(A107&lt;&gt;"",VLOOKUP(A107,Employees!A:Q,12,0),"")="NULL","",IF(A107&lt;&gt;"",VLOOKUP(A107,Employees!A:Q,12,0),""))),"")</f>
        <v/>
      </c>
      <c r="J107" t="str">
        <f>IF(IF(A107&lt;&gt;"",VLOOKUP(A107,Employees!A:Q,14,0),"")="NULL","",IF(A107&lt;&gt;"",VLOOKUP(A107,Employees!A:Q,14,0),""))</f>
        <v/>
      </c>
    </row>
    <row r="108" spans="2:10" x14ac:dyDescent="0.25">
      <c r="B108" t="str">
        <f>IF(A108&lt;&gt;"",VLOOKUP(A108,Employees!A:Q,2,0),"")</f>
        <v/>
      </c>
      <c r="C108" t="str">
        <f>IF(A108&lt;&gt;"",VLOOKUP(A108,Employees!A:Q,3,0),"")</f>
        <v/>
      </c>
      <c r="D108" s="17" t="str">
        <f>IF(IF(A108&lt;&gt;"",VLOOKUP(A108,Employees!A:Q,4,0),"")="NULL","",IF(A108&lt;&gt;"",VLOOKUP(A108,Employees!A:Q,4,0),""))</f>
        <v/>
      </c>
      <c r="E108" s="17" t="str">
        <f>IF(IF(A108&lt;&gt;"",VLOOKUP(A108,Employees!A:Q,5,0),"")="NULL","",IF(A108&lt;&gt;"",VLOOKUP(A108,Employees!A:Q,5,0),""))</f>
        <v/>
      </c>
      <c r="F108" t="str">
        <f>IF(IF(A108&lt;&gt;"",VLOOKUP(A108,Employees!A:Q,9,0),"")="NULL","",IF(A108&lt;&gt;"",VLOOKUP(A108,Employees!A:Q,9,0),""))</f>
        <v/>
      </c>
      <c r="G108" t="str">
        <f>IF(IF(A108&lt;&gt;"",VLOOKUP(A108,Employees!A:Q,10,0),"")="NULL","",IF(A108&lt;&gt;"",VLOOKUP(A108,Employees!A:Q,10,0),""))</f>
        <v/>
      </c>
      <c r="H108" t="str">
        <f>IF(IF(A108&lt;&gt;"",VLOOKUP(A108,Employees!A:Q,11,0),"")="NULL","",IF(A108&lt;&gt;"",VLOOKUP(A108,Employees!A:Q,11,0),""))</f>
        <v/>
      </c>
      <c r="I108" s="25" t="str">
        <f>IFERROR(VALUE(IF(IF(A108&lt;&gt;"",VLOOKUP(A108,Employees!A:Q,12,0),"")="NULL","",IF(A108&lt;&gt;"",VLOOKUP(A108,Employees!A:Q,12,0),""))),"")</f>
        <v/>
      </c>
      <c r="J108" t="str">
        <f>IF(IF(A108&lt;&gt;"",VLOOKUP(A108,Employees!A:Q,14,0),"")="NULL","",IF(A108&lt;&gt;"",VLOOKUP(A108,Employees!A:Q,14,0),""))</f>
        <v/>
      </c>
    </row>
    <row r="109" spans="2:10" x14ac:dyDescent="0.25">
      <c r="B109" t="str">
        <f>IF(A109&lt;&gt;"",VLOOKUP(A109,Employees!A:Q,2,0),"")</f>
        <v/>
      </c>
      <c r="C109" t="str">
        <f>IF(A109&lt;&gt;"",VLOOKUP(A109,Employees!A:Q,3,0),"")</f>
        <v/>
      </c>
      <c r="D109" s="17" t="str">
        <f>IF(IF(A109&lt;&gt;"",VLOOKUP(A109,Employees!A:Q,4,0),"")="NULL","",IF(A109&lt;&gt;"",VLOOKUP(A109,Employees!A:Q,4,0),""))</f>
        <v/>
      </c>
      <c r="E109" s="17" t="str">
        <f>IF(IF(A109&lt;&gt;"",VLOOKUP(A109,Employees!A:Q,5,0),"")="NULL","",IF(A109&lt;&gt;"",VLOOKUP(A109,Employees!A:Q,5,0),""))</f>
        <v/>
      </c>
      <c r="F109" t="str">
        <f>IF(IF(A109&lt;&gt;"",VLOOKUP(A109,Employees!A:Q,9,0),"")="NULL","",IF(A109&lt;&gt;"",VLOOKUP(A109,Employees!A:Q,9,0),""))</f>
        <v/>
      </c>
      <c r="G109" t="str">
        <f>IF(IF(A109&lt;&gt;"",VLOOKUP(A109,Employees!A:Q,10,0),"")="NULL","",IF(A109&lt;&gt;"",VLOOKUP(A109,Employees!A:Q,10,0),""))</f>
        <v/>
      </c>
      <c r="H109" t="str">
        <f>IF(IF(A109&lt;&gt;"",VLOOKUP(A109,Employees!A:Q,11,0),"")="NULL","",IF(A109&lt;&gt;"",VLOOKUP(A109,Employees!A:Q,11,0),""))</f>
        <v/>
      </c>
      <c r="I109" s="25" t="str">
        <f>IFERROR(VALUE(IF(IF(A109&lt;&gt;"",VLOOKUP(A109,Employees!A:Q,12,0),"")="NULL","",IF(A109&lt;&gt;"",VLOOKUP(A109,Employees!A:Q,12,0),""))),"")</f>
        <v/>
      </c>
      <c r="J109" t="str">
        <f>IF(IF(A109&lt;&gt;"",VLOOKUP(A109,Employees!A:Q,14,0),"")="NULL","",IF(A109&lt;&gt;"",VLOOKUP(A109,Employees!A:Q,14,0),""))</f>
        <v/>
      </c>
    </row>
    <row r="110" spans="2:10" x14ac:dyDescent="0.25">
      <c r="B110" t="str">
        <f>IF(A110&lt;&gt;"",VLOOKUP(A110,Employees!A:Q,2,0),"")</f>
        <v/>
      </c>
      <c r="C110" t="str">
        <f>IF(A110&lt;&gt;"",VLOOKUP(A110,Employees!A:Q,3,0),"")</f>
        <v/>
      </c>
      <c r="D110" s="17" t="str">
        <f>IF(IF(A110&lt;&gt;"",VLOOKUP(A110,Employees!A:Q,4,0),"")="NULL","",IF(A110&lt;&gt;"",VLOOKUP(A110,Employees!A:Q,4,0),""))</f>
        <v/>
      </c>
      <c r="E110" s="17" t="str">
        <f>IF(IF(A110&lt;&gt;"",VLOOKUP(A110,Employees!A:Q,5,0),"")="NULL","",IF(A110&lt;&gt;"",VLOOKUP(A110,Employees!A:Q,5,0),""))</f>
        <v/>
      </c>
      <c r="F110" t="str">
        <f>IF(IF(A110&lt;&gt;"",VLOOKUP(A110,Employees!A:Q,9,0),"")="NULL","",IF(A110&lt;&gt;"",VLOOKUP(A110,Employees!A:Q,9,0),""))</f>
        <v/>
      </c>
      <c r="G110" t="str">
        <f>IF(IF(A110&lt;&gt;"",VLOOKUP(A110,Employees!A:Q,10,0),"")="NULL","",IF(A110&lt;&gt;"",VLOOKUP(A110,Employees!A:Q,10,0),""))</f>
        <v/>
      </c>
      <c r="H110" t="str">
        <f>IF(IF(A110&lt;&gt;"",VLOOKUP(A110,Employees!A:Q,11,0),"")="NULL","",IF(A110&lt;&gt;"",VLOOKUP(A110,Employees!A:Q,11,0),""))</f>
        <v/>
      </c>
      <c r="I110" s="25" t="str">
        <f>IFERROR(VALUE(IF(IF(A110&lt;&gt;"",VLOOKUP(A110,Employees!A:Q,12,0),"")="NULL","",IF(A110&lt;&gt;"",VLOOKUP(A110,Employees!A:Q,12,0),""))),"")</f>
        <v/>
      </c>
      <c r="J110" t="str">
        <f>IF(IF(A110&lt;&gt;"",VLOOKUP(A110,Employees!A:Q,14,0),"")="NULL","",IF(A110&lt;&gt;"",VLOOKUP(A110,Employees!A:Q,14,0),""))</f>
        <v/>
      </c>
    </row>
    <row r="111" spans="2:10" x14ac:dyDescent="0.25">
      <c r="B111" t="str">
        <f>IF(A111&lt;&gt;"",VLOOKUP(A111,Employees!A:Q,2,0),"")</f>
        <v/>
      </c>
      <c r="C111" t="str">
        <f>IF(A111&lt;&gt;"",VLOOKUP(A111,Employees!A:Q,3,0),"")</f>
        <v/>
      </c>
      <c r="D111" s="17" t="str">
        <f>IF(IF(A111&lt;&gt;"",VLOOKUP(A111,Employees!A:Q,4,0),"")="NULL","",IF(A111&lt;&gt;"",VLOOKUP(A111,Employees!A:Q,4,0),""))</f>
        <v/>
      </c>
      <c r="E111" s="17" t="str">
        <f>IF(IF(A111&lt;&gt;"",VLOOKUP(A111,Employees!A:Q,5,0),"")="NULL","",IF(A111&lt;&gt;"",VLOOKUP(A111,Employees!A:Q,5,0),""))</f>
        <v/>
      </c>
      <c r="F111" t="str">
        <f>IF(IF(A111&lt;&gt;"",VLOOKUP(A111,Employees!A:Q,9,0),"")="NULL","",IF(A111&lt;&gt;"",VLOOKUP(A111,Employees!A:Q,9,0),""))</f>
        <v/>
      </c>
      <c r="G111" t="str">
        <f>IF(IF(A111&lt;&gt;"",VLOOKUP(A111,Employees!A:Q,10,0),"")="NULL","",IF(A111&lt;&gt;"",VLOOKUP(A111,Employees!A:Q,10,0),""))</f>
        <v/>
      </c>
      <c r="H111" t="str">
        <f>IF(IF(A111&lt;&gt;"",VLOOKUP(A111,Employees!A:Q,11,0),"")="NULL","",IF(A111&lt;&gt;"",VLOOKUP(A111,Employees!A:Q,11,0),""))</f>
        <v/>
      </c>
      <c r="I111" s="25" t="str">
        <f>IFERROR(VALUE(IF(IF(A111&lt;&gt;"",VLOOKUP(A111,Employees!A:Q,12,0),"")="NULL","",IF(A111&lt;&gt;"",VLOOKUP(A111,Employees!A:Q,12,0),""))),"")</f>
        <v/>
      </c>
      <c r="J111" t="str">
        <f>IF(IF(A111&lt;&gt;"",VLOOKUP(A111,Employees!A:Q,14,0),"")="NULL","",IF(A111&lt;&gt;"",VLOOKUP(A111,Employees!A:Q,14,0),""))</f>
        <v/>
      </c>
    </row>
    <row r="112" spans="2:10" x14ac:dyDescent="0.25">
      <c r="B112" t="str">
        <f>IF(A112&lt;&gt;"",VLOOKUP(A112,Employees!A:Q,2,0),"")</f>
        <v/>
      </c>
      <c r="C112" t="str">
        <f>IF(A112&lt;&gt;"",VLOOKUP(A112,Employees!A:Q,3,0),"")</f>
        <v/>
      </c>
      <c r="D112" s="17" t="str">
        <f>IF(IF(A112&lt;&gt;"",VLOOKUP(A112,Employees!A:Q,4,0),"")="NULL","",IF(A112&lt;&gt;"",VLOOKUP(A112,Employees!A:Q,4,0),""))</f>
        <v/>
      </c>
      <c r="E112" s="17" t="str">
        <f>IF(IF(A112&lt;&gt;"",VLOOKUP(A112,Employees!A:Q,5,0),"")="NULL","",IF(A112&lt;&gt;"",VLOOKUP(A112,Employees!A:Q,5,0),""))</f>
        <v/>
      </c>
      <c r="F112" t="str">
        <f>IF(IF(A112&lt;&gt;"",VLOOKUP(A112,Employees!A:Q,9,0),"")="NULL","",IF(A112&lt;&gt;"",VLOOKUP(A112,Employees!A:Q,9,0),""))</f>
        <v/>
      </c>
      <c r="G112" t="str">
        <f>IF(IF(A112&lt;&gt;"",VLOOKUP(A112,Employees!A:Q,10,0),"")="NULL","",IF(A112&lt;&gt;"",VLOOKUP(A112,Employees!A:Q,10,0),""))</f>
        <v/>
      </c>
      <c r="H112" t="str">
        <f>IF(IF(A112&lt;&gt;"",VLOOKUP(A112,Employees!A:Q,11,0),"")="NULL","",IF(A112&lt;&gt;"",VLOOKUP(A112,Employees!A:Q,11,0),""))</f>
        <v/>
      </c>
      <c r="I112" s="25" t="str">
        <f>IFERROR(VALUE(IF(IF(A112&lt;&gt;"",VLOOKUP(A112,Employees!A:Q,12,0),"")="NULL","",IF(A112&lt;&gt;"",VLOOKUP(A112,Employees!A:Q,12,0),""))),"")</f>
        <v/>
      </c>
      <c r="J112" t="str">
        <f>IF(IF(A112&lt;&gt;"",VLOOKUP(A112,Employees!A:Q,14,0),"")="NULL","",IF(A112&lt;&gt;"",VLOOKUP(A112,Employees!A:Q,14,0),""))</f>
        <v/>
      </c>
    </row>
    <row r="113" spans="2:10" x14ac:dyDescent="0.25">
      <c r="B113" t="str">
        <f>IF(A113&lt;&gt;"",VLOOKUP(A113,Employees!A:Q,2,0),"")</f>
        <v/>
      </c>
      <c r="C113" t="str">
        <f>IF(A113&lt;&gt;"",VLOOKUP(A113,Employees!A:Q,3,0),"")</f>
        <v/>
      </c>
      <c r="D113" s="17" t="str">
        <f>IF(IF(A113&lt;&gt;"",VLOOKUP(A113,Employees!A:Q,4,0),"")="NULL","",IF(A113&lt;&gt;"",VLOOKUP(A113,Employees!A:Q,4,0),""))</f>
        <v/>
      </c>
      <c r="E113" s="17" t="str">
        <f>IF(IF(A113&lt;&gt;"",VLOOKUP(A113,Employees!A:Q,5,0),"")="NULL","",IF(A113&lt;&gt;"",VLOOKUP(A113,Employees!A:Q,5,0),""))</f>
        <v/>
      </c>
      <c r="F113" t="str">
        <f>IF(IF(A113&lt;&gt;"",VLOOKUP(A113,Employees!A:Q,9,0),"")="NULL","",IF(A113&lt;&gt;"",VLOOKUP(A113,Employees!A:Q,9,0),""))</f>
        <v/>
      </c>
      <c r="G113" t="str">
        <f>IF(IF(A113&lt;&gt;"",VLOOKUP(A113,Employees!A:Q,10,0),"")="NULL","",IF(A113&lt;&gt;"",VLOOKUP(A113,Employees!A:Q,10,0),""))</f>
        <v/>
      </c>
      <c r="H113" t="str">
        <f>IF(IF(A113&lt;&gt;"",VLOOKUP(A113,Employees!A:Q,11,0),"")="NULL","",IF(A113&lt;&gt;"",VLOOKUP(A113,Employees!A:Q,11,0),""))</f>
        <v/>
      </c>
      <c r="I113" s="25" t="str">
        <f>IFERROR(VALUE(IF(IF(A113&lt;&gt;"",VLOOKUP(A113,Employees!A:Q,12,0),"")="NULL","",IF(A113&lt;&gt;"",VLOOKUP(A113,Employees!A:Q,12,0),""))),"")</f>
        <v/>
      </c>
      <c r="J113" t="str">
        <f>IF(IF(A113&lt;&gt;"",VLOOKUP(A113,Employees!A:Q,14,0),"")="NULL","",IF(A113&lt;&gt;"",VLOOKUP(A113,Employees!A:Q,14,0),""))</f>
        <v/>
      </c>
    </row>
    <row r="114" spans="2:10" x14ac:dyDescent="0.25">
      <c r="B114" t="str">
        <f>IF(A114&lt;&gt;"",VLOOKUP(A114,Employees!A:Q,2,0),"")</f>
        <v/>
      </c>
      <c r="C114" t="str">
        <f>IF(A114&lt;&gt;"",VLOOKUP(A114,Employees!A:Q,3,0),"")</f>
        <v/>
      </c>
      <c r="D114" s="17" t="str">
        <f>IF(IF(A114&lt;&gt;"",VLOOKUP(A114,Employees!A:Q,4,0),"")="NULL","",IF(A114&lt;&gt;"",VLOOKUP(A114,Employees!A:Q,4,0),""))</f>
        <v/>
      </c>
      <c r="E114" s="17" t="str">
        <f>IF(IF(A114&lt;&gt;"",VLOOKUP(A114,Employees!A:Q,5,0),"")="NULL","",IF(A114&lt;&gt;"",VLOOKUP(A114,Employees!A:Q,5,0),""))</f>
        <v/>
      </c>
      <c r="F114" t="str">
        <f>IF(IF(A114&lt;&gt;"",VLOOKUP(A114,Employees!A:Q,9,0),"")="NULL","",IF(A114&lt;&gt;"",VLOOKUP(A114,Employees!A:Q,9,0),""))</f>
        <v/>
      </c>
      <c r="G114" t="str">
        <f>IF(IF(A114&lt;&gt;"",VLOOKUP(A114,Employees!A:Q,10,0),"")="NULL","",IF(A114&lt;&gt;"",VLOOKUP(A114,Employees!A:Q,10,0),""))</f>
        <v/>
      </c>
      <c r="H114" t="str">
        <f>IF(IF(A114&lt;&gt;"",VLOOKUP(A114,Employees!A:Q,11,0),"")="NULL","",IF(A114&lt;&gt;"",VLOOKUP(A114,Employees!A:Q,11,0),""))</f>
        <v/>
      </c>
      <c r="I114" s="25" t="str">
        <f>IFERROR(VALUE(IF(IF(A114&lt;&gt;"",VLOOKUP(A114,Employees!A:Q,12,0),"")="NULL","",IF(A114&lt;&gt;"",VLOOKUP(A114,Employees!A:Q,12,0),""))),"")</f>
        <v/>
      </c>
      <c r="J114" t="str">
        <f>IF(IF(A114&lt;&gt;"",VLOOKUP(A114,Employees!A:Q,14,0),"")="NULL","",IF(A114&lt;&gt;"",VLOOKUP(A114,Employees!A:Q,14,0),""))</f>
        <v/>
      </c>
    </row>
    <row r="115" spans="2:10" x14ac:dyDescent="0.25">
      <c r="B115" t="str">
        <f>IF(A115&lt;&gt;"",VLOOKUP(A115,Employees!A:Q,2,0),"")</f>
        <v/>
      </c>
      <c r="C115" t="str">
        <f>IF(A115&lt;&gt;"",VLOOKUP(A115,Employees!A:Q,3,0),"")</f>
        <v/>
      </c>
      <c r="D115" s="17" t="str">
        <f>IF(IF(A115&lt;&gt;"",VLOOKUP(A115,Employees!A:Q,4,0),"")="NULL","",IF(A115&lt;&gt;"",VLOOKUP(A115,Employees!A:Q,4,0),""))</f>
        <v/>
      </c>
      <c r="E115" s="17" t="str">
        <f>IF(IF(A115&lt;&gt;"",VLOOKUP(A115,Employees!A:Q,5,0),"")="NULL","",IF(A115&lt;&gt;"",VLOOKUP(A115,Employees!A:Q,5,0),""))</f>
        <v/>
      </c>
      <c r="F115" t="str">
        <f>IF(IF(A115&lt;&gt;"",VLOOKUP(A115,Employees!A:Q,9,0),"")="NULL","",IF(A115&lt;&gt;"",VLOOKUP(A115,Employees!A:Q,9,0),""))</f>
        <v/>
      </c>
      <c r="G115" t="str">
        <f>IF(IF(A115&lt;&gt;"",VLOOKUP(A115,Employees!A:Q,10,0),"")="NULL","",IF(A115&lt;&gt;"",VLOOKUP(A115,Employees!A:Q,10,0),""))</f>
        <v/>
      </c>
      <c r="H115" t="str">
        <f>IF(IF(A115&lt;&gt;"",VLOOKUP(A115,Employees!A:Q,11,0),"")="NULL","",IF(A115&lt;&gt;"",VLOOKUP(A115,Employees!A:Q,11,0),""))</f>
        <v/>
      </c>
      <c r="I115" s="25" t="str">
        <f>IFERROR(VALUE(IF(IF(A115&lt;&gt;"",VLOOKUP(A115,Employees!A:Q,12,0),"")="NULL","",IF(A115&lt;&gt;"",VLOOKUP(A115,Employees!A:Q,12,0),""))),"")</f>
        <v/>
      </c>
      <c r="J115" t="str">
        <f>IF(IF(A115&lt;&gt;"",VLOOKUP(A115,Employees!A:Q,14,0),"")="NULL","",IF(A115&lt;&gt;"",VLOOKUP(A115,Employees!A:Q,14,0),""))</f>
        <v/>
      </c>
    </row>
    <row r="116" spans="2:10" x14ac:dyDescent="0.25">
      <c r="B116" t="str">
        <f>IF(A116&lt;&gt;"",VLOOKUP(A116,Employees!A:Q,2,0),"")</f>
        <v/>
      </c>
      <c r="C116" t="str">
        <f>IF(A116&lt;&gt;"",VLOOKUP(A116,Employees!A:Q,3,0),"")</f>
        <v/>
      </c>
      <c r="D116" s="17" t="str">
        <f>IF(IF(A116&lt;&gt;"",VLOOKUP(A116,Employees!A:Q,4,0),"")="NULL","",IF(A116&lt;&gt;"",VLOOKUP(A116,Employees!A:Q,4,0),""))</f>
        <v/>
      </c>
      <c r="E116" s="17" t="str">
        <f>IF(IF(A116&lt;&gt;"",VLOOKUP(A116,Employees!A:Q,5,0),"")="NULL","",IF(A116&lt;&gt;"",VLOOKUP(A116,Employees!A:Q,5,0),""))</f>
        <v/>
      </c>
      <c r="F116" t="str">
        <f>IF(IF(A116&lt;&gt;"",VLOOKUP(A116,Employees!A:Q,9,0),"")="NULL","",IF(A116&lt;&gt;"",VLOOKUP(A116,Employees!A:Q,9,0),""))</f>
        <v/>
      </c>
      <c r="G116" t="str">
        <f>IF(IF(A116&lt;&gt;"",VLOOKUP(A116,Employees!A:Q,10,0),"")="NULL","",IF(A116&lt;&gt;"",VLOOKUP(A116,Employees!A:Q,10,0),""))</f>
        <v/>
      </c>
      <c r="H116" t="str">
        <f>IF(IF(A116&lt;&gt;"",VLOOKUP(A116,Employees!A:Q,11,0),"")="NULL","",IF(A116&lt;&gt;"",VLOOKUP(A116,Employees!A:Q,11,0),""))</f>
        <v/>
      </c>
      <c r="I116" s="25" t="str">
        <f>IFERROR(VALUE(IF(IF(A116&lt;&gt;"",VLOOKUP(A116,Employees!A:Q,12,0),"")="NULL","",IF(A116&lt;&gt;"",VLOOKUP(A116,Employees!A:Q,12,0),""))),"")</f>
        <v/>
      </c>
      <c r="J116" t="str">
        <f>IF(IF(A116&lt;&gt;"",VLOOKUP(A116,Employees!A:Q,14,0),"")="NULL","",IF(A116&lt;&gt;"",VLOOKUP(A116,Employees!A:Q,14,0),""))</f>
        <v/>
      </c>
    </row>
    <row r="117" spans="2:10" x14ac:dyDescent="0.25">
      <c r="B117" t="str">
        <f>IF(A117&lt;&gt;"",VLOOKUP(A117,Employees!A:Q,2,0),"")</f>
        <v/>
      </c>
      <c r="C117" t="str">
        <f>IF(A117&lt;&gt;"",VLOOKUP(A117,Employees!A:Q,3,0),"")</f>
        <v/>
      </c>
      <c r="D117" s="17" t="str">
        <f>IF(IF(A117&lt;&gt;"",VLOOKUP(A117,Employees!A:Q,4,0),"")="NULL","",IF(A117&lt;&gt;"",VLOOKUP(A117,Employees!A:Q,4,0),""))</f>
        <v/>
      </c>
      <c r="E117" s="17" t="str">
        <f>IF(IF(A117&lt;&gt;"",VLOOKUP(A117,Employees!A:Q,5,0),"")="NULL","",IF(A117&lt;&gt;"",VLOOKUP(A117,Employees!A:Q,5,0),""))</f>
        <v/>
      </c>
      <c r="F117" t="str">
        <f>IF(IF(A117&lt;&gt;"",VLOOKUP(A117,Employees!A:Q,9,0),"")="NULL","",IF(A117&lt;&gt;"",VLOOKUP(A117,Employees!A:Q,9,0),""))</f>
        <v/>
      </c>
      <c r="G117" t="str">
        <f>IF(IF(A117&lt;&gt;"",VLOOKUP(A117,Employees!A:Q,10,0),"")="NULL","",IF(A117&lt;&gt;"",VLOOKUP(A117,Employees!A:Q,10,0),""))</f>
        <v/>
      </c>
      <c r="H117" t="str">
        <f>IF(IF(A117&lt;&gt;"",VLOOKUP(A117,Employees!A:Q,11,0),"")="NULL","",IF(A117&lt;&gt;"",VLOOKUP(A117,Employees!A:Q,11,0),""))</f>
        <v/>
      </c>
      <c r="I117" s="25" t="str">
        <f>IFERROR(VALUE(IF(IF(A117&lt;&gt;"",VLOOKUP(A117,Employees!A:Q,12,0),"")="NULL","",IF(A117&lt;&gt;"",VLOOKUP(A117,Employees!A:Q,12,0),""))),"")</f>
        <v/>
      </c>
      <c r="J117" t="str">
        <f>IF(IF(A117&lt;&gt;"",VLOOKUP(A117,Employees!A:Q,14,0),"")="NULL","",IF(A117&lt;&gt;"",VLOOKUP(A117,Employees!A:Q,14,0),""))</f>
        <v/>
      </c>
    </row>
    <row r="118" spans="2:10" x14ac:dyDescent="0.25">
      <c r="B118" t="str">
        <f>IF(A118&lt;&gt;"",VLOOKUP(A118,Employees!A:Q,2,0),"")</f>
        <v/>
      </c>
      <c r="C118" t="str">
        <f>IF(A118&lt;&gt;"",VLOOKUP(A118,Employees!A:Q,3,0),"")</f>
        <v/>
      </c>
      <c r="D118" s="17" t="str">
        <f>IF(IF(A118&lt;&gt;"",VLOOKUP(A118,Employees!A:Q,4,0),"")="NULL","",IF(A118&lt;&gt;"",VLOOKUP(A118,Employees!A:Q,4,0),""))</f>
        <v/>
      </c>
      <c r="E118" s="17" t="str">
        <f>IF(IF(A118&lt;&gt;"",VLOOKUP(A118,Employees!A:Q,5,0),"")="NULL","",IF(A118&lt;&gt;"",VLOOKUP(A118,Employees!A:Q,5,0),""))</f>
        <v/>
      </c>
      <c r="F118" t="str">
        <f>IF(IF(A118&lt;&gt;"",VLOOKUP(A118,Employees!A:Q,9,0),"")="NULL","",IF(A118&lt;&gt;"",VLOOKUP(A118,Employees!A:Q,9,0),""))</f>
        <v/>
      </c>
      <c r="G118" t="str">
        <f>IF(IF(A118&lt;&gt;"",VLOOKUP(A118,Employees!A:Q,10,0),"")="NULL","",IF(A118&lt;&gt;"",VLOOKUP(A118,Employees!A:Q,10,0),""))</f>
        <v/>
      </c>
      <c r="H118" t="str">
        <f>IF(IF(A118&lt;&gt;"",VLOOKUP(A118,Employees!A:Q,11,0),"")="NULL","",IF(A118&lt;&gt;"",VLOOKUP(A118,Employees!A:Q,11,0),""))</f>
        <v/>
      </c>
      <c r="I118" s="25" t="str">
        <f>IFERROR(VALUE(IF(IF(A118&lt;&gt;"",VLOOKUP(A118,Employees!A:Q,12,0),"")="NULL","",IF(A118&lt;&gt;"",VLOOKUP(A118,Employees!A:Q,12,0),""))),"")</f>
        <v/>
      </c>
      <c r="J118" t="str">
        <f>IF(IF(A118&lt;&gt;"",VLOOKUP(A118,Employees!A:Q,14,0),"")="NULL","",IF(A118&lt;&gt;"",VLOOKUP(A118,Employees!A:Q,14,0),""))</f>
        <v/>
      </c>
    </row>
    <row r="119" spans="2:10" x14ac:dyDescent="0.25">
      <c r="B119" t="str">
        <f>IF(A119&lt;&gt;"",VLOOKUP(A119,Employees!A:Q,2,0),"")</f>
        <v/>
      </c>
      <c r="C119" t="str">
        <f>IF(A119&lt;&gt;"",VLOOKUP(A119,Employees!A:Q,3,0),"")</f>
        <v/>
      </c>
      <c r="D119" s="17" t="str">
        <f>IF(IF(A119&lt;&gt;"",VLOOKUP(A119,Employees!A:Q,4,0),"")="NULL","",IF(A119&lt;&gt;"",VLOOKUP(A119,Employees!A:Q,4,0),""))</f>
        <v/>
      </c>
      <c r="E119" s="17" t="str">
        <f>IF(IF(A119&lt;&gt;"",VLOOKUP(A119,Employees!A:Q,5,0),"")="NULL","",IF(A119&lt;&gt;"",VLOOKUP(A119,Employees!A:Q,5,0),""))</f>
        <v/>
      </c>
      <c r="F119" t="str">
        <f>IF(IF(A119&lt;&gt;"",VLOOKUP(A119,Employees!A:Q,9,0),"")="NULL","",IF(A119&lt;&gt;"",VLOOKUP(A119,Employees!A:Q,9,0),""))</f>
        <v/>
      </c>
      <c r="G119" t="str">
        <f>IF(IF(A119&lt;&gt;"",VLOOKUP(A119,Employees!A:Q,10,0),"")="NULL","",IF(A119&lt;&gt;"",VLOOKUP(A119,Employees!A:Q,10,0),""))</f>
        <v/>
      </c>
      <c r="H119" t="str">
        <f>IF(IF(A119&lt;&gt;"",VLOOKUP(A119,Employees!A:Q,11,0),"")="NULL","",IF(A119&lt;&gt;"",VLOOKUP(A119,Employees!A:Q,11,0),""))</f>
        <v/>
      </c>
      <c r="I119" s="25" t="str">
        <f>IFERROR(VALUE(IF(IF(A119&lt;&gt;"",VLOOKUP(A119,Employees!A:Q,12,0),"")="NULL","",IF(A119&lt;&gt;"",VLOOKUP(A119,Employees!A:Q,12,0),""))),"")</f>
        <v/>
      </c>
      <c r="J119" t="str">
        <f>IF(IF(A119&lt;&gt;"",VLOOKUP(A119,Employees!A:Q,14,0),"")="NULL","",IF(A119&lt;&gt;"",VLOOKUP(A119,Employees!A:Q,14,0),""))</f>
        <v/>
      </c>
    </row>
    <row r="120" spans="2:10" x14ac:dyDescent="0.25">
      <c r="B120" t="str">
        <f>IF(A120&lt;&gt;"",VLOOKUP(A120,Employees!A:Q,2,0),"")</f>
        <v/>
      </c>
      <c r="C120" t="str">
        <f>IF(A120&lt;&gt;"",VLOOKUP(A120,Employees!A:Q,3,0),"")</f>
        <v/>
      </c>
      <c r="D120" s="17" t="str">
        <f>IF(IF(A120&lt;&gt;"",VLOOKUP(A120,Employees!A:Q,4,0),"")="NULL","",IF(A120&lt;&gt;"",VLOOKUP(A120,Employees!A:Q,4,0),""))</f>
        <v/>
      </c>
      <c r="E120" s="17" t="str">
        <f>IF(IF(A120&lt;&gt;"",VLOOKUP(A120,Employees!A:Q,5,0),"")="NULL","",IF(A120&lt;&gt;"",VLOOKUP(A120,Employees!A:Q,5,0),""))</f>
        <v/>
      </c>
      <c r="F120" t="str">
        <f>IF(IF(A120&lt;&gt;"",VLOOKUP(A120,Employees!A:Q,9,0),"")="NULL","",IF(A120&lt;&gt;"",VLOOKUP(A120,Employees!A:Q,9,0),""))</f>
        <v/>
      </c>
      <c r="G120" t="str">
        <f>IF(IF(A120&lt;&gt;"",VLOOKUP(A120,Employees!A:Q,10,0),"")="NULL","",IF(A120&lt;&gt;"",VLOOKUP(A120,Employees!A:Q,10,0),""))</f>
        <v/>
      </c>
      <c r="H120" t="str">
        <f>IF(IF(A120&lt;&gt;"",VLOOKUP(A120,Employees!A:Q,11,0),"")="NULL","",IF(A120&lt;&gt;"",VLOOKUP(A120,Employees!A:Q,11,0),""))</f>
        <v/>
      </c>
      <c r="I120" s="25" t="str">
        <f>IFERROR(VALUE(IF(IF(A120&lt;&gt;"",VLOOKUP(A120,Employees!A:Q,12,0),"")="NULL","",IF(A120&lt;&gt;"",VLOOKUP(A120,Employees!A:Q,12,0),""))),"")</f>
        <v/>
      </c>
      <c r="J120" t="str">
        <f>IF(IF(A120&lt;&gt;"",VLOOKUP(A120,Employees!A:Q,14,0),"")="NULL","",IF(A120&lt;&gt;"",VLOOKUP(A120,Employees!A:Q,14,0),""))</f>
        <v/>
      </c>
    </row>
    <row r="121" spans="2:10" x14ac:dyDescent="0.25">
      <c r="B121" t="str">
        <f>IF(A121&lt;&gt;"",VLOOKUP(A121,Employees!A:Q,2,0),"")</f>
        <v/>
      </c>
      <c r="C121" t="str">
        <f>IF(A121&lt;&gt;"",VLOOKUP(A121,Employees!A:Q,3,0),"")</f>
        <v/>
      </c>
      <c r="D121" s="17" t="str">
        <f>IF(IF(A121&lt;&gt;"",VLOOKUP(A121,Employees!A:Q,4,0),"")="NULL","",IF(A121&lt;&gt;"",VLOOKUP(A121,Employees!A:Q,4,0),""))</f>
        <v/>
      </c>
      <c r="E121" s="17" t="str">
        <f>IF(IF(A121&lt;&gt;"",VLOOKUP(A121,Employees!A:Q,5,0),"")="NULL","",IF(A121&lt;&gt;"",VLOOKUP(A121,Employees!A:Q,5,0),""))</f>
        <v/>
      </c>
      <c r="F121" t="str">
        <f>IF(IF(A121&lt;&gt;"",VLOOKUP(A121,Employees!A:Q,9,0),"")="NULL","",IF(A121&lt;&gt;"",VLOOKUP(A121,Employees!A:Q,9,0),""))</f>
        <v/>
      </c>
      <c r="G121" t="str">
        <f>IF(IF(A121&lt;&gt;"",VLOOKUP(A121,Employees!A:Q,10,0),"")="NULL","",IF(A121&lt;&gt;"",VLOOKUP(A121,Employees!A:Q,10,0),""))</f>
        <v/>
      </c>
      <c r="H121" t="str">
        <f>IF(IF(A121&lt;&gt;"",VLOOKUP(A121,Employees!A:Q,11,0),"")="NULL","",IF(A121&lt;&gt;"",VLOOKUP(A121,Employees!A:Q,11,0),""))</f>
        <v/>
      </c>
      <c r="I121" s="25" t="str">
        <f>IFERROR(VALUE(IF(IF(A121&lt;&gt;"",VLOOKUP(A121,Employees!A:Q,12,0),"")="NULL","",IF(A121&lt;&gt;"",VLOOKUP(A121,Employees!A:Q,12,0),""))),"")</f>
        <v/>
      </c>
      <c r="J121" t="str">
        <f>IF(IF(A121&lt;&gt;"",VLOOKUP(A121,Employees!A:Q,14,0),"")="NULL","",IF(A121&lt;&gt;"",VLOOKUP(A121,Employees!A:Q,14,0),""))</f>
        <v/>
      </c>
    </row>
    <row r="122" spans="2:10" x14ac:dyDescent="0.25">
      <c r="B122" t="str">
        <f>IF(A122&lt;&gt;"",VLOOKUP(A122,Employees!A:Q,2,0),"")</f>
        <v/>
      </c>
      <c r="C122" t="str">
        <f>IF(A122&lt;&gt;"",VLOOKUP(A122,Employees!A:Q,3,0),"")</f>
        <v/>
      </c>
      <c r="D122" s="17" t="str">
        <f>IF(IF(A122&lt;&gt;"",VLOOKUP(A122,Employees!A:Q,4,0),"")="NULL","",IF(A122&lt;&gt;"",VLOOKUP(A122,Employees!A:Q,4,0),""))</f>
        <v/>
      </c>
      <c r="E122" s="17" t="str">
        <f>IF(IF(A122&lt;&gt;"",VLOOKUP(A122,Employees!A:Q,5,0),"")="NULL","",IF(A122&lt;&gt;"",VLOOKUP(A122,Employees!A:Q,5,0),""))</f>
        <v/>
      </c>
      <c r="F122" t="str">
        <f>IF(IF(A122&lt;&gt;"",VLOOKUP(A122,Employees!A:Q,9,0),"")="NULL","",IF(A122&lt;&gt;"",VLOOKUP(A122,Employees!A:Q,9,0),""))</f>
        <v/>
      </c>
      <c r="G122" t="str">
        <f>IF(IF(A122&lt;&gt;"",VLOOKUP(A122,Employees!A:Q,10,0),"")="NULL","",IF(A122&lt;&gt;"",VLOOKUP(A122,Employees!A:Q,10,0),""))</f>
        <v/>
      </c>
      <c r="H122" t="str">
        <f>IF(IF(A122&lt;&gt;"",VLOOKUP(A122,Employees!A:Q,11,0),"")="NULL","",IF(A122&lt;&gt;"",VLOOKUP(A122,Employees!A:Q,11,0),""))</f>
        <v/>
      </c>
      <c r="I122" s="25" t="str">
        <f>IFERROR(VALUE(IF(IF(A122&lt;&gt;"",VLOOKUP(A122,Employees!A:Q,12,0),"")="NULL","",IF(A122&lt;&gt;"",VLOOKUP(A122,Employees!A:Q,12,0),""))),"")</f>
        <v/>
      </c>
      <c r="J122" t="str">
        <f>IF(IF(A122&lt;&gt;"",VLOOKUP(A122,Employees!A:Q,14,0),"")="NULL","",IF(A122&lt;&gt;"",VLOOKUP(A122,Employees!A:Q,14,0),""))</f>
        <v/>
      </c>
    </row>
    <row r="123" spans="2:10" x14ac:dyDescent="0.25">
      <c r="B123" t="str">
        <f>IF(A123&lt;&gt;"",VLOOKUP(A123,Employees!A:Q,2,0),"")</f>
        <v/>
      </c>
      <c r="C123" t="str">
        <f>IF(A123&lt;&gt;"",VLOOKUP(A123,Employees!A:Q,3,0),"")</f>
        <v/>
      </c>
      <c r="D123" s="17" t="str">
        <f>IF(IF(A123&lt;&gt;"",VLOOKUP(A123,Employees!A:Q,4,0),"")="NULL","",IF(A123&lt;&gt;"",VLOOKUP(A123,Employees!A:Q,4,0),""))</f>
        <v/>
      </c>
      <c r="E123" s="17" t="str">
        <f>IF(IF(A123&lt;&gt;"",VLOOKUP(A123,Employees!A:Q,5,0),"")="NULL","",IF(A123&lt;&gt;"",VLOOKUP(A123,Employees!A:Q,5,0),""))</f>
        <v/>
      </c>
      <c r="F123" t="str">
        <f>IF(IF(A123&lt;&gt;"",VLOOKUP(A123,Employees!A:Q,9,0),"")="NULL","",IF(A123&lt;&gt;"",VLOOKUP(A123,Employees!A:Q,9,0),""))</f>
        <v/>
      </c>
      <c r="G123" t="str">
        <f>IF(IF(A123&lt;&gt;"",VLOOKUP(A123,Employees!A:Q,10,0),"")="NULL","",IF(A123&lt;&gt;"",VLOOKUP(A123,Employees!A:Q,10,0),""))</f>
        <v/>
      </c>
      <c r="H123" t="str">
        <f>IF(IF(A123&lt;&gt;"",VLOOKUP(A123,Employees!A:Q,11,0),"")="NULL","",IF(A123&lt;&gt;"",VLOOKUP(A123,Employees!A:Q,11,0),""))</f>
        <v/>
      </c>
      <c r="I123" s="25" t="str">
        <f>IFERROR(VALUE(IF(IF(A123&lt;&gt;"",VLOOKUP(A123,Employees!A:Q,12,0),"")="NULL","",IF(A123&lt;&gt;"",VLOOKUP(A123,Employees!A:Q,12,0),""))),"")</f>
        <v/>
      </c>
      <c r="J123" t="str">
        <f>IF(IF(A123&lt;&gt;"",VLOOKUP(A123,Employees!A:Q,14,0),"")="NULL","",IF(A123&lt;&gt;"",VLOOKUP(A123,Employees!A:Q,14,0),""))</f>
        <v/>
      </c>
    </row>
    <row r="124" spans="2:10" x14ac:dyDescent="0.25">
      <c r="B124" t="str">
        <f>IF(A124&lt;&gt;"",VLOOKUP(A124,Employees!A:Q,2,0),"")</f>
        <v/>
      </c>
      <c r="C124" t="str">
        <f>IF(A124&lt;&gt;"",VLOOKUP(A124,Employees!A:Q,3,0),"")</f>
        <v/>
      </c>
      <c r="D124" s="17" t="str">
        <f>IF(IF(A124&lt;&gt;"",VLOOKUP(A124,Employees!A:Q,4,0),"")="NULL","",IF(A124&lt;&gt;"",VLOOKUP(A124,Employees!A:Q,4,0),""))</f>
        <v/>
      </c>
      <c r="E124" s="17" t="str">
        <f>IF(IF(A124&lt;&gt;"",VLOOKUP(A124,Employees!A:Q,5,0),"")="NULL","",IF(A124&lt;&gt;"",VLOOKUP(A124,Employees!A:Q,5,0),""))</f>
        <v/>
      </c>
      <c r="F124" t="str">
        <f>IF(IF(A124&lt;&gt;"",VLOOKUP(A124,Employees!A:Q,9,0),"")="NULL","",IF(A124&lt;&gt;"",VLOOKUP(A124,Employees!A:Q,9,0),""))</f>
        <v/>
      </c>
      <c r="G124" t="str">
        <f>IF(IF(A124&lt;&gt;"",VLOOKUP(A124,Employees!A:Q,10,0),"")="NULL","",IF(A124&lt;&gt;"",VLOOKUP(A124,Employees!A:Q,10,0),""))</f>
        <v/>
      </c>
      <c r="H124" t="str">
        <f>IF(IF(A124&lt;&gt;"",VLOOKUP(A124,Employees!A:Q,11,0),"")="NULL","",IF(A124&lt;&gt;"",VLOOKUP(A124,Employees!A:Q,11,0),""))</f>
        <v/>
      </c>
      <c r="I124" s="25" t="str">
        <f>IFERROR(VALUE(IF(IF(A124&lt;&gt;"",VLOOKUP(A124,Employees!A:Q,12,0),"")="NULL","",IF(A124&lt;&gt;"",VLOOKUP(A124,Employees!A:Q,12,0),""))),"")</f>
        <v/>
      </c>
      <c r="J124" t="str">
        <f>IF(IF(A124&lt;&gt;"",VLOOKUP(A124,Employees!A:Q,14,0),"")="NULL","",IF(A124&lt;&gt;"",VLOOKUP(A124,Employees!A:Q,14,0),""))</f>
        <v/>
      </c>
    </row>
    <row r="125" spans="2:10" x14ac:dyDescent="0.25">
      <c r="B125" t="str">
        <f>IF(A125&lt;&gt;"",VLOOKUP(A125,Employees!A:Q,2,0),"")</f>
        <v/>
      </c>
      <c r="C125" t="str">
        <f>IF(A125&lt;&gt;"",VLOOKUP(A125,Employees!A:Q,3,0),"")</f>
        <v/>
      </c>
      <c r="D125" s="17" t="str">
        <f>IF(IF(A125&lt;&gt;"",VLOOKUP(A125,Employees!A:Q,4,0),"")="NULL","",IF(A125&lt;&gt;"",VLOOKUP(A125,Employees!A:Q,4,0),""))</f>
        <v/>
      </c>
      <c r="E125" s="17" t="str">
        <f>IF(IF(A125&lt;&gt;"",VLOOKUP(A125,Employees!A:Q,5,0),"")="NULL","",IF(A125&lt;&gt;"",VLOOKUP(A125,Employees!A:Q,5,0),""))</f>
        <v/>
      </c>
      <c r="F125" t="str">
        <f>IF(IF(A125&lt;&gt;"",VLOOKUP(A125,Employees!A:Q,9,0),"")="NULL","",IF(A125&lt;&gt;"",VLOOKUP(A125,Employees!A:Q,9,0),""))</f>
        <v/>
      </c>
      <c r="G125" t="str">
        <f>IF(IF(A125&lt;&gt;"",VLOOKUP(A125,Employees!A:Q,10,0),"")="NULL","",IF(A125&lt;&gt;"",VLOOKUP(A125,Employees!A:Q,10,0),""))</f>
        <v/>
      </c>
      <c r="H125" t="str">
        <f>IF(IF(A125&lt;&gt;"",VLOOKUP(A125,Employees!A:Q,11,0),"")="NULL","",IF(A125&lt;&gt;"",VLOOKUP(A125,Employees!A:Q,11,0),""))</f>
        <v/>
      </c>
      <c r="I125" s="25" t="str">
        <f>IFERROR(VALUE(IF(IF(A125&lt;&gt;"",VLOOKUP(A125,Employees!A:Q,12,0),"")="NULL","",IF(A125&lt;&gt;"",VLOOKUP(A125,Employees!A:Q,12,0),""))),"")</f>
        <v/>
      </c>
      <c r="J125" t="str">
        <f>IF(IF(A125&lt;&gt;"",VLOOKUP(A125,Employees!A:Q,14,0),"")="NULL","",IF(A125&lt;&gt;"",VLOOKUP(A125,Employees!A:Q,14,0),""))</f>
        <v/>
      </c>
    </row>
    <row r="126" spans="2:10" x14ac:dyDescent="0.25">
      <c r="B126" t="str">
        <f>IF(A126&lt;&gt;"",VLOOKUP(A126,Employees!A:Q,2,0),"")</f>
        <v/>
      </c>
      <c r="C126" t="str">
        <f>IF(A126&lt;&gt;"",VLOOKUP(A126,Employees!A:Q,3,0),"")</f>
        <v/>
      </c>
      <c r="D126" s="17" t="str">
        <f>IF(IF(A126&lt;&gt;"",VLOOKUP(A126,Employees!A:Q,4,0),"")="NULL","",IF(A126&lt;&gt;"",VLOOKUP(A126,Employees!A:Q,4,0),""))</f>
        <v/>
      </c>
      <c r="E126" s="17" t="str">
        <f>IF(IF(A126&lt;&gt;"",VLOOKUP(A126,Employees!A:Q,5,0),"")="NULL","",IF(A126&lt;&gt;"",VLOOKUP(A126,Employees!A:Q,5,0),""))</f>
        <v/>
      </c>
      <c r="F126" t="str">
        <f>IF(IF(A126&lt;&gt;"",VLOOKUP(A126,Employees!A:Q,9,0),"")="NULL","",IF(A126&lt;&gt;"",VLOOKUP(A126,Employees!A:Q,9,0),""))</f>
        <v/>
      </c>
      <c r="G126" t="str">
        <f>IF(IF(A126&lt;&gt;"",VLOOKUP(A126,Employees!A:Q,10,0),"")="NULL","",IF(A126&lt;&gt;"",VLOOKUP(A126,Employees!A:Q,10,0),""))</f>
        <v/>
      </c>
      <c r="H126" t="str">
        <f>IF(IF(A126&lt;&gt;"",VLOOKUP(A126,Employees!A:Q,11,0),"")="NULL","",IF(A126&lt;&gt;"",VLOOKUP(A126,Employees!A:Q,11,0),""))</f>
        <v/>
      </c>
      <c r="I126" s="25" t="str">
        <f>IFERROR(VALUE(IF(IF(A126&lt;&gt;"",VLOOKUP(A126,Employees!A:Q,12,0),"")="NULL","",IF(A126&lt;&gt;"",VLOOKUP(A126,Employees!A:Q,12,0),""))),"")</f>
        <v/>
      </c>
      <c r="J126" t="str">
        <f>IF(IF(A126&lt;&gt;"",VLOOKUP(A126,Employees!A:Q,14,0),"")="NULL","",IF(A126&lt;&gt;"",VLOOKUP(A126,Employees!A:Q,14,0),""))</f>
        <v/>
      </c>
    </row>
    <row r="127" spans="2:10" x14ac:dyDescent="0.25">
      <c r="B127" t="str">
        <f>IF(A127&lt;&gt;"",VLOOKUP(A127,Employees!A:Q,2,0),"")</f>
        <v/>
      </c>
      <c r="C127" t="str">
        <f>IF(A127&lt;&gt;"",VLOOKUP(A127,Employees!A:Q,3,0),"")</f>
        <v/>
      </c>
      <c r="D127" s="17" t="str">
        <f>IF(IF(A127&lt;&gt;"",VLOOKUP(A127,Employees!A:Q,4,0),"")="NULL","",IF(A127&lt;&gt;"",VLOOKUP(A127,Employees!A:Q,4,0),""))</f>
        <v/>
      </c>
      <c r="E127" s="17" t="str">
        <f>IF(IF(A127&lt;&gt;"",VLOOKUP(A127,Employees!A:Q,5,0),"")="NULL","",IF(A127&lt;&gt;"",VLOOKUP(A127,Employees!A:Q,5,0),""))</f>
        <v/>
      </c>
      <c r="F127" t="str">
        <f>IF(IF(A127&lt;&gt;"",VLOOKUP(A127,Employees!A:Q,9,0),"")="NULL","",IF(A127&lt;&gt;"",VLOOKUP(A127,Employees!A:Q,9,0),""))</f>
        <v/>
      </c>
      <c r="G127" t="str">
        <f>IF(IF(A127&lt;&gt;"",VLOOKUP(A127,Employees!A:Q,10,0),"")="NULL","",IF(A127&lt;&gt;"",VLOOKUP(A127,Employees!A:Q,10,0),""))</f>
        <v/>
      </c>
      <c r="H127" t="str">
        <f>IF(IF(A127&lt;&gt;"",VLOOKUP(A127,Employees!A:Q,11,0),"")="NULL","",IF(A127&lt;&gt;"",VLOOKUP(A127,Employees!A:Q,11,0),""))</f>
        <v/>
      </c>
      <c r="I127" s="25" t="str">
        <f>IFERROR(VALUE(IF(IF(A127&lt;&gt;"",VLOOKUP(A127,Employees!A:Q,12,0),"")="NULL","",IF(A127&lt;&gt;"",VLOOKUP(A127,Employees!A:Q,12,0),""))),"")</f>
        <v/>
      </c>
      <c r="J127" t="str">
        <f>IF(IF(A127&lt;&gt;"",VLOOKUP(A127,Employees!A:Q,14,0),"")="NULL","",IF(A127&lt;&gt;"",VLOOKUP(A127,Employees!A:Q,14,0),""))</f>
        <v/>
      </c>
    </row>
    <row r="128" spans="2:10" x14ac:dyDescent="0.25">
      <c r="B128" t="str">
        <f>IF(A128&lt;&gt;"",VLOOKUP(A128,Employees!A:Q,2,0),"")</f>
        <v/>
      </c>
      <c r="C128" t="str">
        <f>IF(A128&lt;&gt;"",VLOOKUP(A128,Employees!A:Q,3,0),"")</f>
        <v/>
      </c>
      <c r="D128" s="17" t="str">
        <f>IF(IF(A128&lt;&gt;"",VLOOKUP(A128,Employees!A:Q,4,0),"")="NULL","",IF(A128&lt;&gt;"",VLOOKUP(A128,Employees!A:Q,4,0),""))</f>
        <v/>
      </c>
      <c r="E128" s="17" t="str">
        <f>IF(IF(A128&lt;&gt;"",VLOOKUP(A128,Employees!A:Q,5,0),"")="NULL","",IF(A128&lt;&gt;"",VLOOKUP(A128,Employees!A:Q,5,0),""))</f>
        <v/>
      </c>
      <c r="F128" t="str">
        <f>IF(IF(A128&lt;&gt;"",VLOOKUP(A128,Employees!A:Q,9,0),"")="NULL","",IF(A128&lt;&gt;"",VLOOKUP(A128,Employees!A:Q,9,0),""))</f>
        <v/>
      </c>
      <c r="G128" t="str">
        <f>IF(IF(A128&lt;&gt;"",VLOOKUP(A128,Employees!A:Q,10,0),"")="NULL","",IF(A128&lt;&gt;"",VLOOKUP(A128,Employees!A:Q,10,0),""))</f>
        <v/>
      </c>
      <c r="H128" t="str">
        <f>IF(IF(A128&lt;&gt;"",VLOOKUP(A128,Employees!A:Q,11,0),"")="NULL","",IF(A128&lt;&gt;"",VLOOKUP(A128,Employees!A:Q,11,0),""))</f>
        <v/>
      </c>
      <c r="I128" s="25" t="str">
        <f>IFERROR(VALUE(IF(IF(A128&lt;&gt;"",VLOOKUP(A128,Employees!A:Q,12,0),"")="NULL","",IF(A128&lt;&gt;"",VLOOKUP(A128,Employees!A:Q,12,0),""))),"")</f>
        <v/>
      </c>
      <c r="J128" t="str">
        <f>IF(IF(A128&lt;&gt;"",VLOOKUP(A128,Employees!A:Q,14,0),"")="NULL","",IF(A128&lt;&gt;"",VLOOKUP(A128,Employees!A:Q,14,0),""))</f>
        <v/>
      </c>
    </row>
    <row r="129" spans="2:10" x14ac:dyDescent="0.25">
      <c r="B129" t="str">
        <f>IF(A129&lt;&gt;"",VLOOKUP(A129,Employees!A:Q,2,0),"")</f>
        <v/>
      </c>
      <c r="C129" t="str">
        <f>IF(A129&lt;&gt;"",VLOOKUP(A129,Employees!A:Q,3,0),"")</f>
        <v/>
      </c>
      <c r="D129" s="17" t="str">
        <f>IF(IF(A129&lt;&gt;"",VLOOKUP(A129,Employees!A:Q,4,0),"")="NULL","",IF(A129&lt;&gt;"",VLOOKUP(A129,Employees!A:Q,4,0),""))</f>
        <v/>
      </c>
      <c r="E129" s="17" t="str">
        <f>IF(IF(A129&lt;&gt;"",VLOOKUP(A129,Employees!A:Q,5,0),"")="NULL","",IF(A129&lt;&gt;"",VLOOKUP(A129,Employees!A:Q,5,0),""))</f>
        <v/>
      </c>
      <c r="F129" t="str">
        <f>IF(IF(A129&lt;&gt;"",VLOOKUP(A129,Employees!A:Q,9,0),"")="NULL","",IF(A129&lt;&gt;"",VLOOKUP(A129,Employees!A:Q,9,0),""))</f>
        <v/>
      </c>
      <c r="G129" t="str">
        <f>IF(IF(A129&lt;&gt;"",VLOOKUP(A129,Employees!A:Q,10,0),"")="NULL","",IF(A129&lt;&gt;"",VLOOKUP(A129,Employees!A:Q,10,0),""))</f>
        <v/>
      </c>
      <c r="H129" t="str">
        <f>IF(IF(A129&lt;&gt;"",VLOOKUP(A129,Employees!A:Q,11,0),"")="NULL","",IF(A129&lt;&gt;"",VLOOKUP(A129,Employees!A:Q,11,0),""))</f>
        <v/>
      </c>
      <c r="I129" s="25" t="str">
        <f>IFERROR(VALUE(IF(IF(A129&lt;&gt;"",VLOOKUP(A129,Employees!A:Q,12,0),"")="NULL","",IF(A129&lt;&gt;"",VLOOKUP(A129,Employees!A:Q,12,0),""))),"")</f>
        <v/>
      </c>
      <c r="J129" t="str">
        <f>IF(IF(A129&lt;&gt;"",VLOOKUP(A129,Employees!A:Q,14,0),"")="NULL","",IF(A129&lt;&gt;"",VLOOKUP(A129,Employees!A:Q,14,0),""))</f>
        <v/>
      </c>
    </row>
    <row r="130" spans="2:10" x14ac:dyDescent="0.25">
      <c r="B130" t="str">
        <f>IF(A130&lt;&gt;"",VLOOKUP(A130,Employees!A:Q,2,0),"")</f>
        <v/>
      </c>
      <c r="C130" t="str">
        <f>IF(A130&lt;&gt;"",VLOOKUP(A130,Employees!A:Q,3,0),"")</f>
        <v/>
      </c>
      <c r="D130" s="17" t="str">
        <f>IF(IF(A130&lt;&gt;"",VLOOKUP(A130,Employees!A:Q,4,0),"")="NULL","",IF(A130&lt;&gt;"",VLOOKUP(A130,Employees!A:Q,4,0),""))</f>
        <v/>
      </c>
      <c r="E130" s="17" t="str">
        <f>IF(IF(A130&lt;&gt;"",VLOOKUP(A130,Employees!A:Q,5,0),"")="NULL","",IF(A130&lt;&gt;"",VLOOKUP(A130,Employees!A:Q,5,0),""))</f>
        <v/>
      </c>
      <c r="F130" t="str">
        <f>IF(IF(A130&lt;&gt;"",VLOOKUP(A130,Employees!A:Q,9,0),"")="NULL","",IF(A130&lt;&gt;"",VLOOKUP(A130,Employees!A:Q,9,0),""))</f>
        <v/>
      </c>
      <c r="G130" t="str">
        <f>IF(IF(A130&lt;&gt;"",VLOOKUP(A130,Employees!A:Q,10,0),"")="NULL","",IF(A130&lt;&gt;"",VLOOKUP(A130,Employees!A:Q,10,0),""))</f>
        <v/>
      </c>
      <c r="H130" t="str">
        <f>IF(IF(A130&lt;&gt;"",VLOOKUP(A130,Employees!A:Q,11,0),"")="NULL","",IF(A130&lt;&gt;"",VLOOKUP(A130,Employees!A:Q,11,0),""))</f>
        <v/>
      </c>
      <c r="I130" s="25" t="str">
        <f>IFERROR(VALUE(IF(IF(A130&lt;&gt;"",VLOOKUP(A130,Employees!A:Q,12,0),"")="NULL","",IF(A130&lt;&gt;"",VLOOKUP(A130,Employees!A:Q,12,0),""))),"")</f>
        <v/>
      </c>
      <c r="J130" t="str">
        <f>IF(IF(A130&lt;&gt;"",VLOOKUP(A130,Employees!A:Q,14,0),"")="NULL","",IF(A130&lt;&gt;"",VLOOKUP(A130,Employees!A:Q,14,0),""))</f>
        <v/>
      </c>
    </row>
    <row r="131" spans="2:10" x14ac:dyDescent="0.25">
      <c r="B131" t="str">
        <f>IF(A131&lt;&gt;"",VLOOKUP(A131,Employees!A:Q,2,0),"")</f>
        <v/>
      </c>
      <c r="C131" t="str">
        <f>IF(A131&lt;&gt;"",VLOOKUP(A131,Employees!A:Q,3,0),"")</f>
        <v/>
      </c>
      <c r="D131" s="17" t="str">
        <f>IF(IF(A131&lt;&gt;"",VLOOKUP(A131,Employees!A:Q,4,0),"")="NULL","",IF(A131&lt;&gt;"",VLOOKUP(A131,Employees!A:Q,4,0),""))</f>
        <v/>
      </c>
      <c r="E131" s="17" t="str">
        <f>IF(IF(A131&lt;&gt;"",VLOOKUP(A131,Employees!A:Q,5,0),"")="NULL","",IF(A131&lt;&gt;"",VLOOKUP(A131,Employees!A:Q,5,0),""))</f>
        <v/>
      </c>
      <c r="F131" t="str">
        <f>IF(IF(A131&lt;&gt;"",VLOOKUP(A131,Employees!A:Q,9,0),"")="NULL","",IF(A131&lt;&gt;"",VLOOKUP(A131,Employees!A:Q,9,0),""))</f>
        <v/>
      </c>
      <c r="G131" t="str">
        <f>IF(IF(A131&lt;&gt;"",VLOOKUP(A131,Employees!A:Q,10,0),"")="NULL","",IF(A131&lt;&gt;"",VLOOKUP(A131,Employees!A:Q,10,0),""))</f>
        <v/>
      </c>
      <c r="H131" t="str">
        <f>IF(IF(A131&lt;&gt;"",VLOOKUP(A131,Employees!A:Q,11,0),"")="NULL","",IF(A131&lt;&gt;"",VLOOKUP(A131,Employees!A:Q,11,0),""))</f>
        <v/>
      </c>
      <c r="I131" s="25" t="str">
        <f>IFERROR(VALUE(IF(IF(A131&lt;&gt;"",VLOOKUP(A131,Employees!A:Q,12,0),"")="NULL","",IF(A131&lt;&gt;"",VLOOKUP(A131,Employees!A:Q,12,0),""))),"")</f>
        <v/>
      </c>
      <c r="J131" t="str">
        <f>IF(IF(A131&lt;&gt;"",VLOOKUP(A131,Employees!A:Q,14,0),"")="NULL","",IF(A131&lt;&gt;"",VLOOKUP(A131,Employees!A:Q,14,0),""))</f>
        <v/>
      </c>
    </row>
    <row r="132" spans="2:10" x14ac:dyDescent="0.25">
      <c r="B132" t="str">
        <f>IF(A132&lt;&gt;"",VLOOKUP(A132,Employees!A:Q,2,0),"")</f>
        <v/>
      </c>
      <c r="C132" t="str">
        <f>IF(A132&lt;&gt;"",VLOOKUP(A132,Employees!A:Q,3,0),"")</f>
        <v/>
      </c>
      <c r="D132" s="17" t="str">
        <f>IF(IF(A132&lt;&gt;"",VLOOKUP(A132,Employees!A:Q,4,0),"")="NULL","",IF(A132&lt;&gt;"",VLOOKUP(A132,Employees!A:Q,4,0),""))</f>
        <v/>
      </c>
      <c r="E132" s="17" t="str">
        <f>IF(IF(A132&lt;&gt;"",VLOOKUP(A132,Employees!A:Q,5,0),"")="NULL","",IF(A132&lt;&gt;"",VLOOKUP(A132,Employees!A:Q,5,0),""))</f>
        <v/>
      </c>
      <c r="F132" t="str">
        <f>IF(IF(A132&lt;&gt;"",VLOOKUP(A132,Employees!A:Q,9,0),"")="NULL","",IF(A132&lt;&gt;"",VLOOKUP(A132,Employees!A:Q,9,0),""))</f>
        <v/>
      </c>
      <c r="G132" t="str">
        <f>IF(IF(A132&lt;&gt;"",VLOOKUP(A132,Employees!A:Q,10,0),"")="NULL","",IF(A132&lt;&gt;"",VLOOKUP(A132,Employees!A:Q,10,0),""))</f>
        <v/>
      </c>
      <c r="H132" t="str">
        <f>IF(IF(A132&lt;&gt;"",VLOOKUP(A132,Employees!A:Q,11,0),"")="NULL","",IF(A132&lt;&gt;"",VLOOKUP(A132,Employees!A:Q,11,0),""))</f>
        <v/>
      </c>
      <c r="I132" s="25" t="str">
        <f>IFERROR(VALUE(IF(IF(A132&lt;&gt;"",VLOOKUP(A132,Employees!A:Q,12,0),"")="NULL","",IF(A132&lt;&gt;"",VLOOKUP(A132,Employees!A:Q,12,0),""))),"")</f>
        <v/>
      </c>
      <c r="J132" t="str">
        <f>IF(IF(A132&lt;&gt;"",VLOOKUP(A132,Employees!A:Q,14,0),"")="NULL","",IF(A132&lt;&gt;"",VLOOKUP(A132,Employees!A:Q,14,0),""))</f>
        <v/>
      </c>
    </row>
    <row r="133" spans="2:10" x14ac:dyDescent="0.25">
      <c r="B133" t="str">
        <f>IF(A133&lt;&gt;"",VLOOKUP(A133,Employees!A:Q,2,0),"")</f>
        <v/>
      </c>
      <c r="C133" t="str">
        <f>IF(A133&lt;&gt;"",VLOOKUP(A133,Employees!A:Q,3,0),"")</f>
        <v/>
      </c>
      <c r="D133" s="17" t="str">
        <f>IF(IF(A133&lt;&gt;"",VLOOKUP(A133,Employees!A:Q,4,0),"")="NULL","",IF(A133&lt;&gt;"",VLOOKUP(A133,Employees!A:Q,4,0),""))</f>
        <v/>
      </c>
      <c r="E133" s="17" t="str">
        <f>IF(IF(A133&lt;&gt;"",VLOOKUP(A133,Employees!A:Q,5,0),"")="NULL","",IF(A133&lt;&gt;"",VLOOKUP(A133,Employees!A:Q,5,0),""))</f>
        <v/>
      </c>
      <c r="F133" t="str">
        <f>IF(IF(A133&lt;&gt;"",VLOOKUP(A133,Employees!A:Q,9,0),"")="NULL","",IF(A133&lt;&gt;"",VLOOKUP(A133,Employees!A:Q,9,0),""))</f>
        <v/>
      </c>
      <c r="G133" t="str">
        <f>IF(IF(A133&lt;&gt;"",VLOOKUP(A133,Employees!A:Q,10,0),"")="NULL","",IF(A133&lt;&gt;"",VLOOKUP(A133,Employees!A:Q,10,0),""))</f>
        <v/>
      </c>
      <c r="H133" t="str">
        <f>IF(IF(A133&lt;&gt;"",VLOOKUP(A133,Employees!A:Q,11,0),"")="NULL","",IF(A133&lt;&gt;"",VLOOKUP(A133,Employees!A:Q,11,0),""))</f>
        <v/>
      </c>
      <c r="I133" s="25" t="str">
        <f>IFERROR(VALUE(IF(IF(A133&lt;&gt;"",VLOOKUP(A133,Employees!A:Q,12,0),"")="NULL","",IF(A133&lt;&gt;"",VLOOKUP(A133,Employees!A:Q,12,0),""))),"")</f>
        <v/>
      </c>
      <c r="J133" t="str">
        <f>IF(IF(A133&lt;&gt;"",VLOOKUP(A133,Employees!A:Q,14,0),"")="NULL","",IF(A133&lt;&gt;"",VLOOKUP(A133,Employees!A:Q,14,0),""))</f>
        <v/>
      </c>
    </row>
    <row r="134" spans="2:10" x14ac:dyDescent="0.25">
      <c r="B134" t="str">
        <f>IF(A134&lt;&gt;"",VLOOKUP(A134,Employees!A:Q,2,0),"")</f>
        <v/>
      </c>
      <c r="C134" t="str">
        <f>IF(A134&lt;&gt;"",VLOOKUP(A134,Employees!A:Q,3,0),"")</f>
        <v/>
      </c>
      <c r="D134" s="17" t="str">
        <f>IF(IF(A134&lt;&gt;"",VLOOKUP(A134,Employees!A:Q,4,0),"")="NULL","",IF(A134&lt;&gt;"",VLOOKUP(A134,Employees!A:Q,4,0),""))</f>
        <v/>
      </c>
      <c r="E134" s="17" t="str">
        <f>IF(IF(A134&lt;&gt;"",VLOOKUP(A134,Employees!A:Q,5,0),"")="NULL","",IF(A134&lt;&gt;"",VLOOKUP(A134,Employees!A:Q,5,0),""))</f>
        <v/>
      </c>
      <c r="F134" t="str">
        <f>IF(IF(A134&lt;&gt;"",VLOOKUP(A134,Employees!A:Q,9,0),"")="NULL","",IF(A134&lt;&gt;"",VLOOKUP(A134,Employees!A:Q,9,0),""))</f>
        <v/>
      </c>
      <c r="G134" t="str">
        <f>IF(IF(A134&lt;&gt;"",VLOOKUP(A134,Employees!A:Q,10,0),"")="NULL","",IF(A134&lt;&gt;"",VLOOKUP(A134,Employees!A:Q,10,0),""))</f>
        <v/>
      </c>
      <c r="H134" t="str">
        <f>IF(IF(A134&lt;&gt;"",VLOOKUP(A134,Employees!A:Q,11,0),"")="NULL","",IF(A134&lt;&gt;"",VLOOKUP(A134,Employees!A:Q,11,0),""))</f>
        <v/>
      </c>
      <c r="I134" s="25" t="str">
        <f>IFERROR(VALUE(IF(IF(A134&lt;&gt;"",VLOOKUP(A134,Employees!A:Q,12,0),"")="NULL","",IF(A134&lt;&gt;"",VLOOKUP(A134,Employees!A:Q,12,0),""))),"")</f>
        <v/>
      </c>
      <c r="J134" t="str">
        <f>IF(IF(A134&lt;&gt;"",VLOOKUP(A134,Employees!A:Q,14,0),"")="NULL","",IF(A134&lt;&gt;"",VLOOKUP(A134,Employees!A:Q,14,0),""))</f>
        <v/>
      </c>
    </row>
    <row r="135" spans="2:10" x14ac:dyDescent="0.25">
      <c r="B135" t="str">
        <f>IF(A135&lt;&gt;"",VLOOKUP(A135,Employees!A:Q,2,0),"")</f>
        <v/>
      </c>
      <c r="C135" t="str">
        <f>IF(A135&lt;&gt;"",VLOOKUP(A135,Employees!A:Q,3,0),"")</f>
        <v/>
      </c>
      <c r="D135" s="17" t="str">
        <f>IF(IF(A135&lt;&gt;"",VLOOKUP(A135,Employees!A:Q,4,0),"")="NULL","",IF(A135&lt;&gt;"",VLOOKUP(A135,Employees!A:Q,4,0),""))</f>
        <v/>
      </c>
      <c r="E135" s="17" t="str">
        <f>IF(IF(A135&lt;&gt;"",VLOOKUP(A135,Employees!A:Q,5,0),"")="NULL","",IF(A135&lt;&gt;"",VLOOKUP(A135,Employees!A:Q,5,0),""))</f>
        <v/>
      </c>
      <c r="F135" t="str">
        <f>IF(IF(A135&lt;&gt;"",VLOOKUP(A135,Employees!A:Q,9,0),"")="NULL","",IF(A135&lt;&gt;"",VLOOKUP(A135,Employees!A:Q,9,0),""))</f>
        <v/>
      </c>
      <c r="G135" t="str">
        <f>IF(IF(A135&lt;&gt;"",VLOOKUP(A135,Employees!A:Q,10,0),"")="NULL","",IF(A135&lt;&gt;"",VLOOKUP(A135,Employees!A:Q,10,0),""))</f>
        <v/>
      </c>
      <c r="H135" t="str">
        <f>IF(IF(A135&lt;&gt;"",VLOOKUP(A135,Employees!A:Q,11,0),"")="NULL","",IF(A135&lt;&gt;"",VLOOKUP(A135,Employees!A:Q,11,0),""))</f>
        <v/>
      </c>
      <c r="I135" s="25" t="str">
        <f>IFERROR(VALUE(IF(IF(A135&lt;&gt;"",VLOOKUP(A135,Employees!A:Q,12,0),"")="NULL","",IF(A135&lt;&gt;"",VLOOKUP(A135,Employees!A:Q,12,0),""))),"")</f>
        <v/>
      </c>
      <c r="J135" t="str">
        <f>IF(IF(A135&lt;&gt;"",VLOOKUP(A135,Employees!A:Q,14,0),"")="NULL","",IF(A135&lt;&gt;"",VLOOKUP(A135,Employees!A:Q,14,0),""))</f>
        <v/>
      </c>
    </row>
    <row r="136" spans="2:10" x14ac:dyDescent="0.25">
      <c r="B136" t="str">
        <f>IF(A136&lt;&gt;"",VLOOKUP(A136,Employees!A:Q,2,0),"")</f>
        <v/>
      </c>
      <c r="C136" t="str">
        <f>IF(A136&lt;&gt;"",VLOOKUP(A136,Employees!A:Q,3,0),"")</f>
        <v/>
      </c>
      <c r="D136" s="17" t="str">
        <f>IF(IF(A136&lt;&gt;"",VLOOKUP(A136,Employees!A:Q,4,0),"")="NULL","",IF(A136&lt;&gt;"",VLOOKUP(A136,Employees!A:Q,4,0),""))</f>
        <v/>
      </c>
      <c r="E136" s="17" t="str">
        <f>IF(IF(A136&lt;&gt;"",VLOOKUP(A136,Employees!A:Q,5,0),"")="NULL","",IF(A136&lt;&gt;"",VLOOKUP(A136,Employees!A:Q,5,0),""))</f>
        <v/>
      </c>
      <c r="F136" t="str">
        <f>IF(IF(A136&lt;&gt;"",VLOOKUP(A136,Employees!A:Q,9,0),"")="NULL","",IF(A136&lt;&gt;"",VLOOKUP(A136,Employees!A:Q,9,0),""))</f>
        <v/>
      </c>
      <c r="G136" t="str">
        <f>IF(IF(A136&lt;&gt;"",VLOOKUP(A136,Employees!A:Q,10,0),"")="NULL","",IF(A136&lt;&gt;"",VLOOKUP(A136,Employees!A:Q,10,0),""))</f>
        <v/>
      </c>
      <c r="H136" t="str">
        <f>IF(IF(A136&lt;&gt;"",VLOOKUP(A136,Employees!A:Q,11,0),"")="NULL","",IF(A136&lt;&gt;"",VLOOKUP(A136,Employees!A:Q,11,0),""))</f>
        <v/>
      </c>
      <c r="I136" s="25" t="str">
        <f>IFERROR(VALUE(IF(IF(A136&lt;&gt;"",VLOOKUP(A136,Employees!A:Q,12,0),"")="NULL","",IF(A136&lt;&gt;"",VLOOKUP(A136,Employees!A:Q,12,0),""))),"")</f>
        <v/>
      </c>
      <c r="J136" t="str">
        <f>IF(IF(A136&lt;&gt;"",VLOOKUP(A136,Employees!A:Q,14,0),"")="NULL","",IF(A136&lt;&gt;"",VLOOKUP(A136,Employees!A:Q,14,0),""))</f>
        <v/>
      </c>
    </row>
    <row r="137" spans="2:10" x14ac:dyDescent="0.25">
      <c r="B137" t="str">
        <f>IF(A137&lt;&gt;"",VLOOKUP(A137,Employees!A:Q,2,0),"")</f>
        <v/>
      </c>
      <c r="C137" t="str">
        <f>IF(A137&lt;&gt;"",VLOOKUP(A137,Employees!A:Q,3,0),"")</f>
        <v/>
      </c>
      <c r="D137" s="17" t="str">
        <f>IF(IF(A137&lt;&gt;"",VLOOKUP(A137,Employees!A:Q,4,0),"")="NULL","",IF(A137&lt;&gt;"",VLOOKUP(A137,Employees!A:Q,4,0),""))</f>
        <v/>
      </c>
      <c r="E137" s="17" t="str">
        <f>IF(IF(A137&lt;&gt;"",VLOOKUP(A137,Employees!A:Q,5,0),"")="NULL","",IF(A137&lt;&gt;"",VLOOKUP(A137,Employees!A:Q,5,0),""))</f>
        <v/>
      </c>
      <c r="F137" t="str">
        <f>IF(IF(A137&lt;&gt;"",VLOOKUP(A137,Employees!A:Q,9,0),"")="NULL","",IF(A137&lt;&gt;"",VLOOKUP(A137,Employees!A:Q,9,0),""))</f>
        <v/>
      </c>
      <c r="G137" t="str">
        <f>IF(IF(A137&lt;&gt;"",VLOOKUP(A137,Employees!A:Q,10,0),"")="NULL","",IF(A137&lt;&gt;"",VLOOKUP(A137,Employees!A:Q,10,0),""))</f>
        <v/>
      </c>
      <c r="H137" t="str">
        <f>IF(IF(A137&lt;&gt;"",VLOOKUP(A137,Employees!A:Q,11,0),"")="NULL","",IF(A137&lt;&gt;"",VLOOKUP(A137,Employees!A:Q,11,0),""))</f>
        <v/>
      </c>
      <c r="I137" s="25" t="str">
        <f>IFERROR(VALUE(IF(IF(A137&lt;&gt;"",VLOOKUP(A137,Employees!A:Q,12,0),"")="NULL","",IF(A137&lt;&gt;"",VLOOKUP(A137,Employees!A:Q,12,0),""))),"")</f>
        <v/>
      </c>
      <c r="J137" t="str">
        <f>IF(IF(A137&lt;&gt;"",VLOOKUP(A137,Employees!A:Q,14,0),"")="NULL","",IF(A137&lt;&gt;"",VLOOKUP(A137,Employees!A:Q,14,0),""))</f>
        <v/>
      </c>
    </row>
    <row r="138" spans="2:10" x14ac:dyDescent="0.25">
      <c r="B138" t="str">
        <f>IF(A138&lt;&gt;"",VLOOKUP(A138,Employees!A:Q,2,0),"")</f>
        <v/>
      </c>
      <c r="C138" t="str">
        <f>IF(A138&lt;&gt;"",VLOOKUP(A138,Employees!A:Q,3,0),"")</f>
        <v/>
      </c>
      <c r="D138" s="17" t="str">
        <f>IF(IF(A138&lt;&gt;"",VLOOKUP(A138,Employees!A:Q,4,0),"")="NULL","",IF(A138&lt;&gt;"",VLOOKUP(A138,Employees!A:Q,4,0),""))</f>
        <v/>
      </c>
      <c r="E138" s="17" t="str">
        <f>IF(IF(A138&lt;&gt;"",VLOOKUP(A138,Employees!A:Q,5,0),"")="NULL","",IF(A138&lt;&gt;"",VLOOKUP(A138,Employees!A:Q,5,0),""))</f>
        <v/>
      </c>
      <c r="F138" t="str">
        <f>IF(IF(A138&lt;&gt;"",VLOOKUP(A138,Employees!A:Q,9,0),"")="NULL","",IF(A138&lt;&gt;"",VLOOKUP(A138,Employees!A:Q,9,0),""))</f>
        <v/>
      </c>
      <c r="G138" t="str">
        <f>IF(IF(A138&lt;&gt;"",VLOOKUP(A138,Employees!A:Q,10,0),"")="NULL","",IF(A138&lt;&gt;"",VLOOKUP(A138,Employees!A:Q,10,0),""))</f>
        <v/>
      </c>
      <c r="H138" t="str">
        <f>IF(IF(A138&lt;&gt;"",VLOOKUP(A138,Employees!A:Q,11,0),"")="NULL","",IF(A138&lt;&gt;"",VLOOKUP(A138,Employees!A:Q,11,0),""))</f>
        <v/>
      </c>
      <c r="I138" s="25" t="str">
        <f>IFERROR(VALUE(IF(IF(A138&lt;&gt;"",VLOOKUP(A138,Employees!A:Q,12,0),"")="NULL","",IF(A138&lt;&gt;"",VLOOKUP(A138,Employees!A:Q,12,0),""))),"")</f>
        <v/>
      </c>
      <c r="J138" t="str">
        <f>IF(IF(A138&lt;&gt;"",VLOOKUP(A138,Employees!A:Q,14,0),"")="NULL","",IF(A138&lt;&gt;"",VLOOKUP(A138,Employees!A:Q,14,0),""))</f>
        <v/>
      </c>
    </row>
    <row r="139" spans="2:10" x14ac:dyDescent="0.25">
      <c r="B139" t="str">
        <f>IF(A139&lt;&gt;"",VLOOKUP(A139,Employees!A:Q,2,0),"")</f>
        <v/>
      </c>
      <c r="C139" t="str">
        <f>IF(A139&lt;&gt;"",VLOOKUP(A139,Employees!A:Q,3,0),"")</f>
        <v/>
      </c>
      <c r="D139" s="17" t="str">
        <f>IF(IF(A139&lt;&gt;"",VLOOKUP(A139,Employees!A:Q,4,0),"")="NULL","",IF(A139&lt;&gt;"",VLOOKUP(A139,Employees!A:Q,4,0),""))</f>
        <v/>
      </c>
      <c r="E139" s="17" t="str">
        <f>IF(IF(A139&lt;&gt;"",VLOOKUP(A139,Employees!A:Q,5,0),"")="NULL","",IF(A139&lt;&gt;"",VLOOKUP(A139,Employees!A:Q,5,0),""))</f>
        <v/>
      </c>
      <c r="F139" t="str">
        <f>IF(IF(A139&lt;&gt;"",VLOOKUP(A139,Employees!A:Q,9,0),"")="NULL","",IF(A139&lt;&gt;"",VLOOKUP(A139,Employees!A:Q,9,0),""))</f>
        <v/>
      </c>
      <c r="G139" t="str">
        <f>IF(IF(A139&lt;&gt;"",VLOOKUP(A139,Employees!A:Q,10,0),"")="NULL","",IF(A139&lt;&gt;"",VLOOKUP(A139,Employees!A:Q,10,0),""))</f>
        <v/>
      </c>
      <c r="H139" t="str">
        <f>IF(IF(A139&lt;&gt;"",VLOOKUP(A139,Employees!A:Q,11,0),"")="NULL","",IF(A139&lt;&gt;"",VLOOKUP(A139,Employees!A:Q,11,0),""))</f>
        <v/>
      </c>
      <c r="I139" s="25" t="str">
        <f>IFERROR(VALUE(IF(IF(A139&lt;&gt;"",VLOOKUP(A139,Employees!A:Q,12,0),"")="NULL","",IF(A139&lt;&gt;"",VLOOKUP(A139,Employees!A:Q,12,0),""))),"")</f>
        <v/>
      </c>
      <c r="J139" t="str">
        <f>IF(IF(A139&lt;&gt;"",VLOOKUP(A139,Employees!A:Q,14,0),"")="NULL","",IF(A139&lt;&gt;"",VLOOKUP(A139,Employees!A:Q,14,0),""))</f>
        <v/>
      </c>
    </row>
    <row r="140" spans="2:10" x14ac:dyDescent="0.25">
      <c r="B140" t="str">
        <f>IF(A140&lt;&gt;"",VLOOKUP(A140,Employees!A:Q,2,0),"")</f>
        <v/>
      </c>
      <c r="C140" t="str">
        <f>IF(A140&lt;&gt;"",VLOOKUP(A140,Employees!A:Q,3,0),"")</f>
        <v/>
      </c>
      <c r="D140" s="17" t="str">
        <f>IF(IF(A140&lt;&gt;"",VLOOKUP(A140,Employees!A:Q,4,0),"")="NULL","",IF(A140&lt;&gt;"",VLOOKUP(A140,Employees!A:Q,4,0),""))</f>
        <v/>
      </c>
      <c r="E140" s="17" t="str">
        <f>IF(IF(A140&lt;&gt;"",VLOOKUP(A140,Employees!A:Q,5,0),"")="NULL","",IF(A140&lt;&gt;"",VLOOKUP(A140,Employees!A:Q,5,0),""))</f>
        <v/>
      </c>
      <c r="F140" t="str">
        <f>IF(IF(A140&lt;&gt;"",VLOOKUP(A140,Employees!A:Q,9,0),"")="NULL","",IF(A140&lt;&gt;"",VLOOKUP(A140,Employees!A:Q,9,0),""))</f>
        <v/>
      </c>
      <c r="G140" t="str">
        <f>IF(IF(A140&lt;&gt;"",VLOOKUP(A140,Employees!A:Q,10,0),"")="NULL","",IF(A140&lt;&gt;"",VLOOKUP(A140,Employees!A:Q,10,0),""))</f>
        <v/>
      </c>
      <c r="H140" t="str">
        <f>IF(IF(A140&lt;&gt;"",VLOOKUP(A140,Employees!A:Q,11,0),"")="NULL","",IF(A140&lt;&gt;"",VLOOKUP(A140,Employees!A:Q,11,0),""))</f>
        <v/>
      </c>
      <c r="I140" s="25" t="str">
        <f>IFERROR(VALUE(IF(IF(A140&lt;&gt;"",VLOOKUP(A140,Employees!A:Q,12,0),"")="NULL","",IF(A140&lt;&gt;"",VLOOKUP(A140,Employees!A:Q,12,0),""))),"")</f>
        <v/>
      </c>
      <c r="J140" t="str">
        <f>IF(IF(A140&lt;&gt;"",VLOOKUP(A140,Employees!A:Q,14,0),"")="NULL","",IF(A140&lt;&gt;"",VLOOKUP(A140,Employees!A:Q,14,0),""))</f>
        <v/>
      </c>
    </row>
    <row r="141" spans="2:10" x14ac:dyDescent="0.25">
      <c r="B141" t="str">
        <f>IF(A141&lt;&gt;"",VLOOKUP(A141,Employees!A:Q,2,0),"")</f>
        <v/>
      </c>
      <c r="C141" t="str">
        <f>IF(A141&lt;&gt;"",VLOOKUP(A141,Employees!A:Q,3,0),"")</f>
        <v/>
      </c>
      <c r="D141" s="17" t="str">
        <f>IF(IF(A141&lt;&gt;"",VLOOKUP(A141,Employees!A:Q,4,0),"")="NULL","",IF(A141&lt;&gt;"",VLOOKUP(A141,Employees!A:Q,4,0),""))</f>
        <v/>
      </c>
      <c r="E141" s="17" t="str">
        <f>IF(IF(A141&lt;&gt;"",VLOOKUP(A141,Employees!A:Q,5,0),"")="NULL","",IF(A141&lt;&gt;"",VLOOKUP(A141,Employees!A:Q,5,0),""))</f>
        <v/>
      </c>
      <c r="F141" t="str">
        <f>IF(IF(A141&lt;&gt;"",VLOOKUP(A141,Employees!A:Q,9,0),"")="NULL","",IF(A141&lt;&gt;"",VLOOKUP(A141,Employees!A:Q,9,0),""))</f>
        <v/>
      </c>
      <c r="G141" t="str">
        <f>IF(IF(A141&lt;&gt;"",VLOOKUP(A141,Employees!A:Q,10,0),"")="NULL","",IF(A141&lt;&gt;"",VLOOKUP(A141,Employees!A:Q,10,0),""))</f>
        <v/>
      </c>
      <c r="H141" t="str">
        <f>IF(IF(A141&lt;&gt;"",VLOOKUP(A141,Employees!A:Q,11,0),"")="NULL","",IF(A141&lt;&gt;"",VLOOKUP(A141,Employees!A:Q,11,0),""))</f>
        <v/>
      </c>
      <c r="I141" s="25" t="str">
        <f>IFERROR(VALUE(IF(IF(A141&lt;&gt;"",VLOOKUP(A141,Employees!A:Q,12,0),"")="NULL","",IF(A141&lt;&gt;"",VLOOKUP(A141,Employees!A:Q,12,0),""))),"")</f>
        <v/>
      </c>
      <c r="J141" t="str">
        <f>IF(IF(A141&lt;&gt;"",VLOOKUP(A141,Employees!A:Q,14,0),"")="NULL","",IF(A141&lt;&gt;"",VLOOKUP(A141,Employees!A:Q,14,0),""))</f>
        <v/>
      </c>
    </row>
    <row r="142" spans="2:10" x14ac:dyDescent="0.25">
      <c r="B142" t="str">
        <f>IF(A142&lt;&gt;"",VLOOKUP(A142,Employees!A:Q,2,0),"")</f>
        <v/>
      </c>
      <c r="C142" t="str">
        <f>IF(A142&lt;&gt;"",VLOOKUP(A142,Employees!A:Q,3,0),"")</f>
        <v/>
      </c>
      <c r="D142" s="17" t="str">
        <f>IF(IF(A142&lt;&gt;"",VLOOKUP(A142,Employees!A:Q,4,0),"")="NULL","",IF(A142&lt;&gt;"",VLOOKUP(A142,Employees!A:Q,4,0),""))</f>
        <v/>
      </c>
      <c r="E142" s="17" t="str">
        <f>IF(IF(A142&lt;&gt;"",VLOOKUP(A142,Employees!A:Q,5,0),"")="NULL","",IF(A142&lt;&gt;"",VLOOKUP(A142,Employees!A:Q,5,0),""))</f>
        <v/>
      </c>
      <c r="F142" t="str">
        <f>IF(IF(A142&lt;&gt;"",VLOOKUP(A142,Employees!A:Q,9,0),"")="NULL","",IF(A142&lt;&gt;"",VLOOKUP(A142,Employees!A:Q,9,0),""))</f>
        <v/>
      </c>
      <c r="G142" t="str">
        <f>IF(IF(A142&lt;&gt;"",VLOOKUP(A142,Employees!A:Q,10,0),"")="NULL","",IF(A142&lt;&gt;"",VLOOKUP(A142,Employees!A:Q,10,0),""))</f>
        <v/>
      </c>
      <c r="H142" t="str">
        <f>IF(IF(A142&lt;&gt;"",VLOOKUP(A142,Employees!A:Q,11,0),"")="NULL","",IF(A142&lt;&gt;"",VLOOKUP(A142,Employees!A:Q,11,0),""))</f>
        <v/>
      </c>
      <c r="I142" s="25" t="str">
        <f>IFERROR(VALUE(IF(IF(A142&lt;&gt;"",VLOOKUP(A142,Employees!A:Q,12,0),"")="NULL","",IF(A142&lt;&gt;"",VLOOKUP(A142,Employees!A:Q,12,0),""))),"")</f>
        <v/>
      </c>
      <c r="J142" t="str">
        <f>IF(IF(A142&lt;&gt;"",VLOOKUP(A142,Employees!A:Q,14,0),"")="NULL","",IF(A142&lt;&gt;"",VLOOKUP(A142,Employees!A:Q,14,0),""))</f>
        <v/>
      </c>
    </row>
    <row r="143" spans="2:10" x14ac:dyDescent="0.25">
      <c r="B143" t="str">
        <f>IF(A143&lt;&gt;"",VLOOKUP(A143,Employees!A:Q,2,0),"")</f>
        <v/>
      </c>
      <c r="C143" t="str">
        <f>IF(A143&lt;&gt;"",VLOOKUP(A143,Employees!A:Q,3,0),"")</f>
        <v/>
      </c>
      <c r="D143" s="17" t="str">
        <f>IF(IF(A143&lt;&gt;"",VLOOKUP(A143,Employees!A:Q,4,0),"")="NULL","",IF(A143&lt;&gt;"",VLOOKUP(A143,Employees!A:Q,4,0),""))</f>
        <v/>
      </c>
      <c r="E143" s="17" t="str">
        <f>IF(IF(A143&lt;&gt;"",VLOOKUP(A143,Employees!A:Q,5,0),"")="NULL","",IF(A143&lt;&gt;"",VLOOKUP(A143,Employees!A:Q,5,0),""))</f>
        <v/>
      </c>
      <c r="F143" t="str">
        <f>IF(IF(A143&lt;&gt;"",VLOOKUP(A143,Employees!A:Q,9,0),"")="NULL","",IF(A143&lt;&gt;"",VLOOKUP(A143,Employees!A:Q,9,0),""))</f>
        <v/>
      </c>
      <c r="G143" t="str">
        <f>IF(IF(A143&lt;&gt;"",VLOOKUP(A143,Employees!A:Q,10,0),"")="NULL","",IF(A143&lt;&gt;"",VLOOKUP(A143,Employees!A:Q,10,0),""))</f>
        <v/>
      </c>
      <c r="H143" t="str">
        <f>IF(IF(A143&lt;&gt;"",VLOOKUP(A143,Employees!A:Q,11,0),"")="NULL","",IF(A143&lt;&gt;"",VLOOKUP(A143,Employees!A:Q,11,0),""))</f>
        <v/>
      </c>
      <c r="I143" s="25" t="str">
        <f>IFERROR(VALUE(IF(IF(A143&lt;&gt;"",VLOOKUP(A143,Employees!A:Q,12,0),"")="NULL","",IF(A143&lt;&gt;"",VLOOKUP(A143,Employees!A:Q,12,0),""))),"")</f>
        <v/>
      </c>
      <c r="J143" t="str">
        <f>IF(IF(A143&lt;&gt;"",VLOOKUP(A143,Employees!A:Q,14,0),"")="NULL","",IF(A143&lt;&gt;"",VLOOKUP(A143,Employees!A:Q,14,0),""))</f>
        <v/>
      </c>
    </row>
    <row r="144" spans="2:10" x14ac:dyDescent="0.25">
      <c r="B144" t="str">
        <f>IF(A144&lt;&gt;"",VLOOKUP(A144,Employees!A:Q,2,0),"")</f>
        <v/>
      </c>
      <c r="C144" t="str">
        <f>IF(A144&lt;&gt;"",VLOOKUP(A144,Employees!A:Q,3,0),"")</f>
        <v/>
      </c>
      <c r="D144" s="17" t="str">
        <f>IF(IF(A144&lt;&gt;"",VLOOKUP(A144,Employees!A:Q,4,0),"")="NULL","",IF(A144&lt;&gt;"",VLOOKUP(A144,Employees!A:Q,4,0),""))</f>
        <v/>
      </c>
      <c r="E144" s="17" t="str">
        <f>IF(IF(A144&lt;&gt;"",VLOOKUP(A144,Employees!A:Q,5,0),"")="NULL","",IF(A144&lt;&gt;"",VLOOKUP(A144,Employees!A:Q,5,0),""))</f>
        <v/>
      </c>
      <c r="F144" t="str">
        <f>IF(IF(A144&lt;&gt;"",VLOOKUP(A144,Employees!A:Q,9,0),"")="NULL","",IF(A144&lt;&gt;"",VLOOKUP(A144,Employees!A:Q,9,0),""))</f>
        <v/>
      </c>
      <c r="G144" t="str">
        <f>IF(IF(A144&lt;&gt;"",VLOOKUP(A144,Employees!A:Q,10,0),"")="NULL","",IF(A144&lt;&gt;"",VLOOKUP(A144,Employees!A:Q,10,0),""))</f>
        <v/>
      </c>
      <c r="H144" t="str">
        <f>IF(IF(A144&lt;&gt;"",VLOOKUP(A144,Employees!A:Q,11,0),"")="NULL","",IF(A144&lt;&gt;"",VLOOKUP(A144,Employees!A:Q,11,0),""))</f>
        <v/>
      </c>
      <c r="I144" s="25" t="str">
        <f>IFERROR(VALUE(IF(IF(A144&lt;&gt;"",VLOOKUP(A144,Employees!A:Q,12,0),"")="NULL","",IF(A144&lt;&gt;"",VLOOKUP(A144,Employees!A:Q,12,0),""))),"")</f>
        <v/>
      </c>
      <c r="J144" t="str">
        <f>IF(IF(A144&lt;&gt;"",VLOOKUP(A144,Employees!A:Q,14,0),"")="NULL","",IF(A144&lt;&gt;"",VLOOKUP(A144,Employees!A:Q,14,0),""))</f>
        <v/>
      </c>
    </row>
    <row r="145" spans="2:10" x14ac:dyDescent="0.25">
      <c r="B145" t="str">
        <f>IF(A145&lt;&gt;"",VLOOKUP(A145,Employees!A:Q,2,0),"")</f>
        <v/>
      </c>
      <c r="C145" t="str">
        <f>IF(A145&lt;&gt;"",VLOOKUP(A145,Employees!A:Q,3,0),"")</f>
        <v/>
      </c>
      <c r="D145" s="17" t="str">
        <f>IF(IF(A145&lt;&gt;"",VLOOKUP(A145,Employees!A:Q,4,0),"")="NULL","",IF(A145&lt;&gt;"",VLOOKUP(A145,Employees!A:Q,4,0),""))</f>
        <v/>
      </c>
      <c r="E145" s="17" t="str">
        <f>IF(IF(A145&lt;&gt;"",VLOOKUP(A145,Employees!A:Q,5,0),"")="NULL","",IF(A145&lt;&gt;"",VLOOKUP(A145,Employees!A:Q,5,0),""))</f>
        <v/>
      </c>
      <c r="F145" t="str">
        <f>IF(IF(A145&lt;&gt;"",VLOOKUP(A145,Employees!A:Q,9,0),"")="NULL","",IF(A145&lt;&gt;"",VLOOKUP(A145,Employees!A:Q,9,0),""))</f>
        <v/>
      </c>
      <c r="G145" t="str">
        <f>IF(IF(A145&lt;&gt;"",VLOOKUP(A145,Employees!A:Q,10,0),"")="NULL","",IF(A145&lt;&gt;"",VLOOKUP(A145,Employees!A:Q,10,0),""))</f>
        <v/>
      </c>
      <c r="H145" t="str">
        <f>IF(IF(A145&lt;&gt;"",VLOOKUP(A145,Employees!A:Q,11,0),"")="NULL","",IF(A145&lt;&gt;"",VLOOKUP(A145,Employees!A:Q,11,0),""))</f>
        <v/>
      </c>
      <c r="I145" s="25" t="str">
        <f>IFERROR(VALUE(IF(IF(A145&lt;&gt;"",VLOOKUP(A145,Employees!A:Q,12,0),"")="NULL","",IF(A145&lt;&gt;"",VLOOKUP(A145,Employees!A:Q,12,0),""))),"")</f>
        <v/>
      </c>
      <c r="J145" t="str">
        <f>IF(IF(A145&lt;&gt;"",VLOOKUP(A145,Employees!A:Q,14,0),"")="NULL","",IF(A145&lt;&gt;"",VLOOKUP(A145,Employees!A:Q,14,0),""))</f>
        <v/>
      </c>
    </row>
    <row r="146" spans="2:10" x14ac:dyDescent="0.25">
      <c r="B146" t="str">
        <f>IF(A146&lt;&gt;"",VLOOKUP(A146,Employees!A:Q,2,0),"")</f>
        <v/>
      </c>
      <c r="C146" t="str">
        <f>IF(A146&lt;&gt;"",VLOOKUP(A146,Employees!A:Q,3,0),"")</f>
        <v/>
      </c>
      <c r="D146" s="17" t="str">
        <f>IF(IF(A146&lt;&gt;"",VLOOKUP(A146,Employees!A:Q,4,0),"")="NULL","",IF(A146&lt;&gt;"",VLOOKUP(A146,Employees!A:Q,4,0),""))</f>
        <v/>
      </c>
      <c r="E146" s="17" t="str">
        <f>IF(IF(A146&lt;&gt;"",VLOOKUP(A146,Employees!A:Q,5,0),"")="NULL","",IF(A146&lt;&gt;"",VLOOKUP(A146,Employees!A:Q,5,0),""))</f>
        <v/>
      </c>
      <c r="F146" t="str">
        <f>IF(IF(A146&lt;&gt;"",VLOOKUP(A146,Employees!A:Q,9,0),"")="NULL","",IF(A146&lt;&gt;"",VLOOKUP(A146,Employees!A:Q,9,0),""))</f>
        <v/>
      </c>
      <c r="G146" t="str">
        <f>IF(IF(A146&lt;&gt;"",VLOOKUP(A146,Employees!A:Q,10,0),"")="NULL","",IF(A146&lt;&gt;"",VLOOKUP(A146,Employees!A:Q,10,0),""))</f>
        <v/>
      </c>
      <c r="H146" t="str">
        <f>IF(IF(A146&lt;&gt;"",VLOOKUP(A146,Employees!A:Q,11,0),"")="NULL","",IF(A146&lt;&gt;"",VLOOKUP(A146,Employees!A:Q,11,0),""))</f>
        <v/>
      </c>
      <c r="I146" s="25" t="str">
        <f>IFERROR(VALUE(IF(IF(A146&lt;&gt;"",VLOOKUP(A146,Employees!A:Q,12,0),"")="NULL","",IF(A146&lt;&gt;"",VLOOKUP(A146,Employees!A:Q,12,0),""))),"")</f>
        <v/>
      </c>
      <c r="J146" t="str">
        <f>IF(IF(A146&lt;&gt;"",VLOOKUP(A146,Employees!A:Q,14,0),"")="NULL","",IF(A146&lt;&gt;"",VLOOKUP(A146,Employees!A:Q,14,0),""))</f>
        <v/>
      </c>
    </row>
    <row r="147" spans="2:10" x14ac:dyDescent="0.25">
      <c r="B147" t="str">
        <f>IF(A147&lt;&gt;"",VLOOKUP(A147,Employees!A:Q,2,0),"")</f>
        <v/>
      </c>
      <c r="C147" t="str">
        <f>IF(A147&lt;&gt;"",VLOOKUP(A147,Employees!A:Q,3,0),"")</f>
        <v/>
      </c>
      <c r="D147" s="17" t="str">
        <f>IF(IF(A147&lt;&gt;"",VLOOKUP(A147,Employees!A:Q,4,0),"")="NULL","",IF(A147&lt;&gt;"",VLOOKUP(A147,Employees!A:Q,4,0),""))</f>
        <v/>
      </c>
      <c r="E147" s="17" t="str">
        <f>IF(IF(A147&lt;&gt;"",VLOOKUP(A147,Employees!A:Q,5,0),"")="NULL","",IF(A147&lt;&gt;"",VLOOKUP(A147,Employees!A:Q,5,0),""))</f>
        <v/>
      </c>
      <c r="F147" t="str">
        <f>IF(IF(A147&lt;&gt;"",VLOOKUP(A147,Employees!A:Q,9,0),"")="NULL","",IF(A147&lt;&gt;"",VLOOKUP(A147,Employees!A:Q,9,0),""))</f>
        <v/>
      </c>
      <c r="G147" t="str">
        <f>IF(IF(A147&lt;&gt;"",VLOOKUP(A147,Employees!A:Q,10,0),"")="NULL","",IF(A147&lt;&gt;"",VLOOKUP(A147,Employees!A:Q,10,0),""))</f>
        <v/>
      </c>
      <c r="H147" t="str">
        <f>IF(IF(A147&lt;&gt;"",VLOOKUP(A147,Employees!A:Q,11,0),"")="NULL","",IF(A147&lt;&gt;"",VLOOKUP(A147,Employees!A:Q,11,0),""))</f>
        <v/>
      </c>
      <c r="I147" s="25" t="str">
        <f>IFERROR(VALUE(IF(IF(A147&lt;&gt;"",VLOOKUP(A147,Employees!A:Q,12,0),"")="NULL","",IF(A147&lt;&gt;"",VLOOKUP(A147,Employees!A:Q,12,0),""))),"")</f>
        <v/>
      </c>
      <c r="J147" t="str">
        <f>IF(IF(A147&lt;&gt;"",VLOOKUP(A147,Employees!A:Q,14,0),"")="NULL","",IF(A147&lt;&gt;"",VLOOKUP(A147,Employees!A:Q,14,0),""))</f>
        <v/>
      </c>
    </row>
    <row r="148" spans="2:10" x14ac:dyDescent="0.25">
      <c r="B148" t="str">
        <f>IF(A148&lt;&gt;"",VLOOKUP(A148,Employees!A:Q,2,0),"")</f>
        <v/>
      </c>
      <c r="C148" t="str">
        <f>IF(A148&lt;&gt;"",VLOOKUP(A148,Employees!A:Q,3,0),"")</f>
        <v/>
      </c>
      <c r="D148" s="17" t="str">
        <f>IF(IF(A148&lt;&gt;"",VLOOKUP(A148,Employees!A:Q,4,0),"")="NULL","",IF(A148&lt;&gt;"",VLOOKUP(A148,Employees!A:Q,4,0),""))</f>
        <v/>
      </c>
      <c r="E148" s="17" t="str">
        <f>IF(IF(A148&lt;&gt;"",VLOOKUP(A148,Employees!A:Q,5,0),"")="NULL","",IF(A148&lt;&gt;"",VLOOKUP(A148,Employees!A:Q,5,0),""))</f>
        <v/>
      </c>
      <c r="F148" t="str">
        <f>IF(IF(A148&lt;&gt;"",VLOOKUP(A148,Employees!A:Q,9,0),"")="NULL","",IF(A148&lt;&gt;"",VLOOKUP(A148,Employees!A:Q,9,0),""))</f>
        <v/>
      </c>
      <c r="G148" t="str">
        <f>IF(IF(A148&lt;&gt;"",VLOOKUP(A148,Employees!A:Q,10,0),"")="NULL","",IF(A148&lt;&gt;"",VLOOKUP(A148,Employees!A:Q,10,0),""))</f>
        <v/>
      </c>
      <c r="H148" t="str">
        <f>IF(IF(A148&lt;&gt;"",VLOOKUP(A148,Employees!A:Q,11,0),"")="NULL","",IF(A148&lt;&gt;"",VLOOKUP(A148,Employees!A:Q,11,0),""))</f>
        <v/>
      </c>
      <c r="I148" s="25" t="str">
        <f>IFERROR(VALUE(IF(IF(A148&lt;&gt;"",VLOOKUP(A148,Employees!A:Q,12,0),"")="NULL","",IF(A148&lt;&gt;"",VLOOKUP(A148,Employees!A:Q,12,0),""))),"")</f>
        <v/>
      </c>
      <c r="J148" t="str">
        <f>IF(IF(A148&lt;&gt;"",VLOOKUP(A148,Employees!A:Q,14,0),"")="NULL","",IF(A148&lt;&gt;"",VLOOKUP(A148,Employees!A:Q,14,0),""))</f>
        <v/>
      </c>
    </row>
    <row r="149" spans="2:10" x14ac:dyDescent="0.25">
      <c r="B149" t="str">
        <f>IF(A149&lt;&gt;"",VLOOKUP(A149,Employees!A:Q,2,0),"")</f>
        <v/>
      </c>
      <c r="C149" t="str">
        <f>IF(A149&lt;&gt;"",VLOOKUP(A149,Employees!A:Q,3,0),"")</f>
        <v/>
      </c>
      <c r="D149" s="17" t="str">
        <f>IF(IF(A149&lt;&gt;"",VLOOKUP(A149,Employees!A:Q,4,0),"")="NULL","",IF(A149&lt;&gt;"",VLOOKUP(A149,Employees!A:Q,4,0),""))</f>
        <v/>
      </c>
      <c r="E149" s="17" t="str">
        <f>IF(IF(A149&lt;&gt;"",VLOOKUP(A149,Employees!A:Q,5,0),"")="NULL","",IF(A149&lt;&gt;"",VLOOKUP(A149,Employees!A:Q,5,0),""))</f>
        <v/>
      </c>
      <c r="F149" t="str">
        <f>IF(IF(A149&lt;&gt;"",VLOOKUP(A149,Employees!A:Q,9,0),"")="NULL","",IF(A149&lt;&gt;"",VLOOKUP(A149,Employees!A:Q,9,0),""))</f>
        <v/>
      </c>
      <c r="G149" t="str">
        <f>IF(IF(A149&lt;&gt;"",VLOOKUP(A149,Employees!A:Q,10,0),"")="NULL","",IF(A149&lt;&gt;"",VLOOKUP(A149,Employees!A:Q,10,0),""))</f>
        <v/>
      </c>
      <c r="H149" t="str">
        <f>IF(IF(A149&lt;&gt;"",VLOOKUP(A149,Employees!A:Q,11,0),"")="NULL","",IF(A149&lt;&gt;"",VLOOKUP(A149,Employees!A:Q,11,0),""))</f>
        <v/>
      </c>
      <c r="I149" s="25" t="str">
        <f>IFERROR(VALUE(IF(IF(A149&lt;&gt;"",VLOOKUP(A149,Employees!A:Q,12,0),"")="NULL","",IF(A149&lt;&gt;"",VLOOKUP(A149,Employees!A:Q,12,0),""))),"")</f>
        <v/>
      </c>
      <c r="J149" t="str">
        <f>IF(IF(A149&lt;&gt;"",VLOOKUP(A149,Employees!A:Q,14,0),"")="NULL","",IF(A149&lt;&gt;"",VLOOKUP(A149,Employees!A:Q,14,0),""))</f>
        <v/>
      </c>
    </row>
    <row r="150" spans="2:10" x14ac:dyDescent="0.25">
      <c r="B150" t="str">
        <f>IF(A150&lt;&gt;"",VLOOKUP(A150,Employees!A:Q,2,0),"")</f>
        <v/>
      </c>
      <c r="C150" t="str">
        <f>IF(A150&lt;&gt;"",VLOOKUP(A150,Employees!A:Q,3,0),"")</f>
        <v/>
      </c>
      <c r="D150" s="17" t="str">
        <f>IF(IF(A150&lt;&gt;"",VLOOKUP(A150,Employees!A:Q,4,0),"")="NULL","",IF(A150&lt;&gt;"",VLOOKUP(A150,Employees!A:Q,4,0),""))</f>
        <v/>
      </c>
      <c r="E150" s="17" t="str">
        <f>IF(IF(A150&lt;&gt;"",VLOOKUP(A150,Employees!A:Q,5,0),"")="NULL","",IF(A150&lt;&gt;"",VLOOKUP(A150,Employees!A:Q,5,0),""))</f>
        <v/>
      </c>
      <c r="F150" t="str">
        <f>IF(IF(A150&lt;&gt;"",VLOOKUP(A150,Employees!A:Q,9,0),"")="NULL","",IF(A150&lt;&gt;"",VLOOKUP(A150,Employees!A:Q,9,0),""))</f>
        <v/>
      </c>
      <c r="G150" t="str">
        <f>IF(IF(A150&lt;&gt;"",VLOOKUP(A150,Employees!A:Q,10,0),"")="NULL","",IF(A150&lt;&gt;"",VLOOKUP(A150,Employees!A:Q,10,0),""))</f>
        <v/>
      </c>
      <c r="H150" t="str">
        <f>IF(IF(A150&lt;&gt;"",VLOOKUP(A150,Employees!A:Q,11,0),"")="NULL","",IF(A150&lt;&gt;"",VLOOKUP(A150,Employees!A:Q,11,0),""))</f>
        <v/>
      </c>
      <c r="I150" s="25" t="str">
        <f>IFERROR(VALUE(IF(IF(A150&lt;&gt;"",VLOOKUP(A150,Employees!A:Q,12,0),"")="NULL","",IF(A150&lt;&gt;"",VLOOKUP(A150,Employees!A:Q,12,0),""))),"")</f>
        <v/>
      </c>
      <c r="J150" t="str">
        <f>IF(IF(A150&lt;&gt;"",VLOOKUP(A150,Employees!A:Q,14,0),"")="NULL","",IF(A150&lt;&gt;"",VLOOKUP(A150,Employees!A:Q,14,0),""))</f>
        <v/>
      </c>
    </row>
    <row r="151" spans="2:10" x14ac:dyDescent="0.25">
      <c r="B151" t="str">
        <f>IF(A151&lt;&gt;"",VLOOKUP(A151,Employees!A:Q,2,0),"")</f>
        <v/>
      </c>
      <c r="C151" t="str">
        <f>IF(A151&lt;&gt;"",VLOOKUP(A151,Employees!A:Q,3,0),"")</f>
        <v/>
      </c>
      <c r="D151" s="17" t="str">
        <f>IF(IF(A151&lt;&gt;"",VLOOKUP(A151,Employees!A:Q,4,0),"")="NULL","",IF(A151&lt;&gt;"",VLOOKUP(A151,Employees!A:Q,4,0),""))</f>
        <v/>
      </c>
      <c r="E151" s="17" t="str">
        <f>IF(IF(A151&lt;&gt;"",VLOOKUP(A151,Employees!A:Q,5,0),"")="NULL","",IF(A151&lt;&gt;"",VLOOKUP(A151,Employees!A:Q,5,0),""))</f>
        <v/>
      </c>
      <c r="F151" t="str">
        <f>IF(IF(A151&lt;&gt;"",VLOOKUP(A151,Employees!A:Q,9,0),"")="NULL","",IF(A151&lt;&gt;"",VLOOKUP(A151,Employees!A:Q,9,0),""))</f>
        <v/>
      </c>
      <c r="G151" t="str">
        <f>IF(IF(A151&lt;&gt;"",VLOOKUP(A151,Employees!A:Q,10,0),"")="NULL","",IF(A151&lt;&gt;"",VLOOKUP(A151,Employees!A:Q,10,0),""))</f>
        <v/>
      </c>
      <c r="H151" t="str">
        <f>IF(IF(A151&lt;&gt;"",VLOOKUP(A151,Employees!A:Q,11,0),"")="NULL","",IF(A151&lt;&gt;"",VLOOKUP(A151,Employees!A:Q,11,0),""))</f>
        <v/>
      </c>
      <c r="I151" s="25" t="str">
        <f>IFERROR(VALUE(IF(IF(A151&lt;&gt;"",VLOOKUP(A151,Employees!A:Q,12,0),"")="NULL","",IF(A151&lt;&gt;"",VLOOKUP(A151,Employees!A:Q,12,0),""))),"")</f>
        <v/>
      </c>
      <c r="J151" t="str">
        <f>IF(IF(A151&lt;&gt;"",VLOOKUP(A151,Employees!A:Q,14,0),"")="NULL","",IF(A151&lt;&gt;"",VLOOKUP(A151,Employees!A:Q,14,0),""))</f>
        <v/>
      </c>
    </row>
    <row r="152" spans="2:10" x14ac:dyDescent="0.25">
      <c r="B152" t="str">
        <f>IF(A152&lt;&gt;"",VLOOKUP(A152,Employees!A:Q,2,0),"")</f>
        <v/>
      </c>
      <c r="C152" t="str">
        <f>IF(A152&lt;&gt;"",VLOOKUP(A152,Employees!A:Q,3,0),"")</f>
        <v/>
      </c>
      <c r="D152" s="17" t="str">
        <f>IF(IF(A152&lt;&gt;"",VLOOKUP(A152,Employees!A:Q,4,0),"")="NULL","",IF(A152&lt;&gt;"",VLOOKUP(A152,Employees!A:Q,4,0),""))</f>
        <v/>
      </c>
      <c r="E152" s="17" t="str">
        <f>IF(IF(A152&lt;&gt;"",VLOOKUP(A152,Employees!A:Q,5,0),"")="NULL","",IF(A152&lt;&gt;"",VLOOKUP(A152,Employees!A:Q,5,0),""))</f>
        <v/>
      </c>
      <c r="F152" t="str">
        <f>IF(IF(A152&lt;&gt;"",VLOOKUP(A152,Employees!A:Q,9,0),"")="NULL","",IF(A152&lt;&gt;"",VLOOKUP(A152,Employees!A:Q,9,0),""))</f>
        <v/>
      </c>
      <c r="G152" t="str">
        <f>IF(IF(A152&lt;&gt;"",VLOOKUP(A152,Employees!A:Q,10,0),"")="NULL","",IF(A152&lt;&gt;"",VLOOKUP(A152,Employees!A:Q,10,0),""))</f>
        <v/>
      </c>
      <c r="H152" t="str">
        <f>IF(IF(A152&lt;&gt;"",VLOOKUP(A152,Employees!A:Q,11,0),"")="NULL","",IF(A152&lt;&gt;"",VLOOKUP(A152,Employees!A:Q,11,0),""))</f>
        <v/>
      </c>
      <c r="I152" s="25" t="str">
        <f>IFERROR(VALUE(IF(IF(A152&lt;&gt;"",VLOOKUP(A152,Employees!A:Q,12,0),"")="NULL","",IF(A152&lt;&gt;"",VLOOKUP(A152,Employees!A:Q,12,0),""))),"")</f>
        <v/>
      </c>
      <c r="J152" t="str">
        <f>IF(IF(A152&lt;&gt;"",VLOOKUP(A152,Employees!A:Q,14,0),"")="NULL","",IF(A152&lt;&gt;"",VLOOKUP(A152,Employees!A:Q,14,0),""))</f>
        <v/>
      </c>
    </row>
    <row r="153" spans="2:10" x14ac:dyDescent="0.25">
      <c r="B153" t="str">
        <f>IF(A153&lt;&gt;"",VLOOKUP(A153,Employees!A:Q,2,0),"")</f>
        <v/>
      </c>
      <c r="C153" t="str">
        <f>IF(A153&lt;&gt;"",VLOOKUP(A153,Employees!A:Q,3,0),"")</f>
        <v/>
      </c>
      <c r="D153" s="17" t="str">
        <f>IF(IF(A153&lt;&gt;"",VLOOKUP(A153,Employees!A:Q,4,0),"")="NULL","",IF(A153&lt;&gt;"",VLOOKUP(A153,Employees!A:Q,4,0),""))</f>
        <v/>
      </c>
      <c r="E153" s="17" t="str">
        <f>IF(IF(A153&lt;&gt;"",VLOOKUP(A153,Employees!A:Q,5,0),"")="NULL","",IF(A153&lt;&gt;"",VLOOKUP(A153,Employees!A:Q,5,0),""))</f>
        <v/>
      </c>
      <c r="F153" t="str">
        <f>IF(IF(A153&lt;&gt;"",VLOOKUP(A153,Employees!A:Q,9,0),"")="NULL","",IF(A153&lt;&gt;"",VLOOKUP(A153,Employees!A:Q,9,0),""))</f>
        <v/>
      </c>
      <c r="G153" t="str">
        <f>IF(IF(A153&lt;&gt;"",VLOOKUP(A153,Employees!A:Q,10,0),"")="NULL","",IF(A153&lt;&gt;"",VLOOKUP(A153,Employees!A:Q,10,0),""))</f>
        <v/>
      </c>
      <c r="H153" t="str">
        <f>IF(IF(A153&lt;&gt;"",VLOOKUP(A153,Employees!A:Q,11,0),"")="NULL","",IF(A153&lt;&gt;"",VLOOKUP(A153,Employees!A:Q,11,0),""))</f>
        <v/>
      </c>
      <c r="I153" s="25" t="str">
        <f>IFERROR(VALUE(IF(IF(A153&lt;&gt;"",VLOOKUP(A153,Employees!A:Q,12,0),"")="NULL","",IF(A153&lt;&gt;"",VLOOKUP(A153,Employees!A:Q,12,0),""))),"")</f>
        <v/>
      </c>
      <c r="J153" t="str">
        <f>IF(IF(A153&lt;&gt;"",VLOOKUP(A153,Employees!A:Q,14,0),"")="NULL","",IF(A153&lt;&gt;"",VLOOKUP(A153,Employees!A:Q,14,0),""))</f>
        <v/>
      </c>
    </row>
    <row r="154" spans="2:10" x14ac:dyDescent="0.25">
      <c r="B154" t="str">
        <f>IF(A154&lt;&gt;"",VLOOKUP(A154,Employees!A:Q,2,0),"")</f>
        <v/>
      </c>
      <c r="C154" t="str">
        <f>IF(A154&lt;&gt;"",VLOOKUP(A154,Employees!A:Q,3,0),"")</f>
        <v/>
      </c>
      <c r="D154" s="17" t="str">
        <f>IF(IF(A154&lt;&gt;"",VLOOKUP(A154,Employees!A:Q,4,0),"")="NULL","",IF(A154&lt;&gt;"",VLOOKUP(A154,Employees!A:Q,4,0),""))</f>
        <v/>
      </c>
      <c r="E154" s="17" t="str">
        <f>IF(IF(A154&lt;&gt;"",VLOOKUP(A154,Employees!A:Q,5,0),"")="NULL","",IF(A154&lt;&gt;"",VLOOKUP(A154,Employees!A:Q,5,0),""))</f>
        <v/>
      </c>
      <c r="F154" t="str">
        <f>IF(IF(A154&lt;&gt;"",VLOOKUP(A154,Employees!A:Q,9,0),"")="NULL","",IF(A154&lt;&gt;"",VLOOKUP(A154,Employees!A:Q,9,0),""))</f>
        <v/>
      </c>
      <c r="G154" t="str">
        <f>IF(IF(A154&lt;&gt;"",VLOOKUP(A154,Employees!A:Q,10,0),"")="NULL","",IF(A154&lt;&gt;"",VLOOKUP(A154,Employees!A:Q,10,0),""))</f>
        <v/>
      </c>
      <c r="H154" t="str">
        <f>IF(IF(A154&lt;&gt;"",VLOOKUP(A154,Employees!A:Q,11,0),"")="NULL","",IF(A154&lt;&gt;"",VLOOKUP(A154,Employees!A:Q,11,0),""))</f>
        <v/>
      </c>
      <c r="I154" s="25" t="str">
        <f>IFERROR(VALUE(IF(IF(A154&lt;&gt;"",VLOOKUP(A154,Employees!A:Q,12,0),"")="NULL","",IF(A154&lt;&gt;"",VLOOKUP(A154,Employees!A:Q,12,0),""))),"")</f>
        <v/>
      </c>
      <c r="J154" t="str">
        <f>IF(IF(A154&lt;&gt;"",VLOOKUP(A154,Employees!A:Q,14,0),"")="NULL","",IF(A154&lt;&gt;"",VLOOKUP(A154,Employees!A:Q,14,0),""))</f>
        <v/>
      </c>
    </row>
    <row r="155" spans="2:10" x14ac:dyDescent="0.25">
      <c r="B155" t="str">
        <f>IF(A155&lt;&gt;"",VLOOKUP(A155,Employees!A:Q,2,0),"")</f>
        <v/>
      </c>
      <c r="C155" t="str">
        <f>IF(A155&lt;&gt;"",VLOOKUP(A155,Employees!A:Q,3,0),"")</f>
        <v/>
      </c>
      <c r="D155" s="17" t="str">
        <f>IF(IF(A155&lt;&gt;"",VLOOKUP(A155,Employees!A:Q,4,0),"")="NULL","",IF(A155&lt;&gt;"",VLOOKUP(A155,Employees!A:Q,4,0),""))</f>
        <v/>
      </c>
      <c r="E155" s="17" t="str">
        <f>IF(IF(A155&lt;&gt;"",VLOOKUP(A155,Employees!A:Q,5,0),"")="NULL","",IF(A155&lt;&gt;"",VLOOKUP(A155,Employees!A:Q,5,0),""))</f>
        <v/>
      </c>
      <c r="F155" t="str">
        <f>IF(IF(A155&lt;&gt;"",VLOOKUP(A155,Employees!A:Q,9,0),"")="NULL","",IF(A155&lt;&gt;"",VLOOKUP(A155,Employees!A:Q,9,0),""))</f>
        <v/>
      </c>
      <c r="G155" t="str">
        <f>IF(IF(A155&lt;&gt;"",VLOOKUP(A155,Employees!A:Q,10,0),"")="NULL","",IF(A155&lt;&gt;"",VLOOKUP(A155,Employees!A:Q,10,0),""))</f>
        <v/>
      </c>
      <c r="H155" t="str">
        <f>IF(IF(A155&lt;&gt;"",VLOOKUP(A155,Employees!A:Q,11,0),"")="NULL","",IF(A155&lt;&gt;"",VLOOKUP(A155,Employees!A:Q,11,0),""))</f>
        <v/>
      </c>
      <c r="I155" s="25" t="str">
        <f>IFERROR(VALUE(IF(IF(A155&lt;&gt;"",VLOOKUP(A155,Employees!A:Q,12,0),"")="NULL","",IF(A155&lt;&gt;"",VLOOKUP(A155,Employees!A:Q,12,0),""))),"")</f>
        <v/>
      </c>
      <c r="J155" t="str">
        <f>IF(IF(A155&lt;&gt;"",VLOOKUP(A155,Employees!A:Q,14,0),"")="NULL","",IF(A155&lt;&gt;"",VLOOKUP(A155,Employees!A:Q,14,0),""))</f>
        <v/>
      </c>
    </row>
    <row r="156" spans="2:10" x14ac:dyDescent="0.25">
      <c r="B156" t="str">
        <f>IF(A156&lt;&gt;"",VLOOKUP(A156,Employees!A:Q,2,0),"")</f>
        <v/>
      </c>
      <c r="C156" t="str">
        <f>IF(A156&lt;&gt;"",VLOOKUP(A156,Employees!A:Q,3,0),"")</f>
        <v/>
      </c>
      <c r="D156" s="17" t="str">
        <f>IF(IF(A156&lt;&gt;"",VLOOKUP(A156,Employees!A:Q,4,0),"")="NULL","",IF(A156&lt;&gt;"",VLOOKUP(A156,Employees!A:Q,4,0),""))</f>
        <v/>
      </c>
      <c r="E156" s="17" t="str">
        <f>IF(IF(A156&lt;&gt;"",VLOOKUP(A156,Employees!A:Q,5,0),"")="NULL","",IF(A156&lt;&gt;"",VLOOKUP(A156,Employees!A:Q,5,0),""))</f>
        <v/>
      </c>
      <c r="F156" t="str">
        <f>IF(IF(A156&lt;&gt;"",VLOOKUP(A156,Employees!A:Q,9,0),"")="NULL","",IF(A156&lt;&gt;"",VLOOKUP(A156,Employees!A:Q,9,0),""))</f>
        <v/>
      </c>
      <c r="G156" t="str">
        <f>IF(IF(A156&lt;&gt;"",VLOOKUP(A156,Employees!A:Q,10,0),"")="NULL","",IF(A156&lt;&gt;"",VLOOKUP(A156,Employees!A:Q,10,0),""))</f>
        <v/>
      </c>
      <c r="H156" t="str">
        <f>IF(IF(A156&lt;&gt;"",VLOOKUP(A156,Employees!A:Q,11,0),"")="NULL","",IF(A156&lt;&gt;"",VLOOKUP(A156,Employees!A:Q,11,0),""))</f>
        <v/>
      </c>
      <c r="I156" s="25" t="str">
        <f>IFERROR(VALUE(IF(IF(A156&lt;&gt;"",VLOOKUP(A156,Employees!A:Q,12,0),"")="NULL","",IF(A156&lt;&gt;"",VLOOKUP(A156,Employees!A:Q,12,0),""))),"")</f>
        <v/>
      </c>
      <c r="J156" t="str">
        <f>IF(IF(A156&lt;&gt;"",VLOOKUP(A156,Employees!A:Q,14,0),"")="NULL","",IF(A156&lt;&gt;"",VLOOKUP(A156,Employees!A:Q,14,0),""))</f>
        <v/>
      </c>
    </row>
    <row r="157" spans="2:10" x14ac:dyDescent="0.25">
      <c r="B157" t="str">
        <f>IF(A157&lt;&gt;"",VLOOKUP(A157,Employees!A:Q,2,0),"")</f>
        <v/>
      </c>
      <c r="C157" t="str">
        <f>IF(A157&lt;&gt;"",VLOOKUP(A157,Employees!A:Q,3,0),"")</f>
        <v/>
      </c>
      <c r="D157" s="17" t="str">
        <f>IF(IF(A157&lt;&gt;"",VLOOKUP(A157,Employees!A:Q,4,0),"")="NULL","",IF(A157&lt;&gt;"",VLOOKUP(A157,Employees!A:Q,4,0),""))</f>
        <v/>
      </c>
      <c r="E157" s="17" t="str">
        <f>IF(IF(A157&lt;&gt;"",VLOOKUP(A157,Employees!A:Q,5,0),"")="NULL","",IF(A157&lt;&gt;"",VLOOKUP(A157,Employees!A:Q,5,0),""))</f>
        <v/>
      </c>
      <c r="F157" t="str">
        <f>IF(IF(A157&lt;&gt;"",VLOOKUP(A157,Employees!A:Q,9,0),"")="NULL","",IF(A157&lt;&gt;"",VLOOKUP(A157,Employees!A:Q,9,0),""))</f>
        <v/>
      </c>
      <c r="G157" t="str">
        <f>IF(IF(A157&lt;&gt;"",VLOOKUP(A157,Employees!A:Q,10,0),"")="NULL","",IF(A157&lt;&gt;"",VLOOKUP(A157,Employees!A:Q,10,0),""))</f>
        <v/>
      </c>
      <c r="H157" t="str">
        <f>IF(IF(A157&lt;&gt;"",VLOOKUP(A157,Employees!A:Q,11,0),"")="NULL","",IF(A157&lt;&gt;"",VLOOKUP(A157,Employees!A:Q,11,0),""))</f>
        <v/>
      </c>
      <c r="I157" s="25" t="str">
        <f>IFERROR(VALUE(IF(IF(A157&lt;&gt;"",VLOOKUP(A157,Employees!A:Q,12,0),"")="NULL","",IF(A157&lt;&gt;"",VLOOKUP(A157,Employees!A:Q,12,0),""))),"")</f>
        <v/>
      </c>
      <c r="J157" t="str">
        <f>IF(IF(A157&lt;&gt;"",VLOOKUP(A157,Employees!A:Q,14,0),"")="NULL","",IF(A157&lt;&gt;"",VLOOKUP(A157,Employees!A:Q,14,0),""))</f>
        <v/>
      </c>
    </row>
    <row r="158" spans="2:10" x14ac:dyDescent="0.25">
      <c r="B158" t="str">
        <f>IF(A158&lt;&gt;"",VLOOKUP(A158,Employees!A:Q,2,0),"")</f>
        <v/>
      </c>
      <c r="C158" t="str">
        <f>IF(A158&lt;&gt;"",VLOOKUP(A158,Employees!A:Q,3,0),"")</f>
        <v/>
      </c>
      <c r="D158" s="17" t="str">
        <f>IF(IF(A158&lt;&gt;"",VLOOKUP(A158,Employees!A:Q,4,0),"")="NULL","",IF(A158&lt;&gt;"",VLOOKUP(A158,Employees!A:Q,4,0),""))</f>
        <v/>
      </c>
      <c r="E158" s="17" t="str">
        <f>IF(IF(A158&lt;&gt;"",VLOOKUP(A158,Employees!A:Q,5,0),"")="NULL","",IF(A158&lt;&gt;"",VLOOKUP(A158,Employees!A:Q,5,0),""))</f>
        <v/>
      </c>
      <c r="F158" t="str">
        <f>IF(IF(A158&lt;&gt;"",VLOOKUP(A158,Employees!A:Q,9,0),"")="NULL","",IF(A158&lt;&gt;"",VLOOKUP(A158,Employees!A:Q,9,0),""))</f>
        <v/>
      </c>
      <c r="G158" t="str">
        <f>IF(IF(A158&lt;&gt;"",VLOOKUP(A158,Employees!A:Q,10,0),"")="NULL","",IF(A158&lt;&gt;"",VLOOKUP(A158,Employees!A:Q,10,0),""))</f>
        <v/>
      </c>
      <c r="H158" t="str">
        <f>IF(IF(A158&lt;&gt;"",VLOOKUP(A158,Employees!A:Q,11,0),"")="NULL","",IF(A158&lt;&gt;"",VLOOKUP(A158,Employees!A:Q,11,0),""))</f>
        <v/>
      </c>
      <c r="I158" s="25" t="str">
        <f>IFERROR(VALUE(IF(IF(A158&lt;&gt;"",VLOOKUP(A158,Employees!A:Q,12,0),"")="NULL","",IF(A158&lt;&gt;"",VLOOKUP(A158,Employees!A:Q,12,0),""))),"")</f>
        <v/>
      </c>
      <c r="J158" t="str">
        <f>IF(IF(A158&lt;&gt;"",VLOOKUP(A158,Employees!A:Q,14,0),"")="NULL","",IF(A158&lt;&gt;"",VLOOKUP(A158,Employees!A:Q,14,0),""))</f>
        <v/>
      </c>
    </row>
    <row r="159" spans="2:10" x14ac:dyDescent="0.25">
      <c r="B159" t="str">
        <f>IF(A159&lt;&gt;"",VLOOKUP(A159,Employees!A:Q,2,0),"")</f>
        <v/>
      </c>
      <c r="C159" t="str">
        <f>IF(A159&lt;&gt;"",VLOOKUP(A159,Employees!A:Q,3,0),"")</f>
        <v/>
      </c>
      <c r="D159" s="17" t="str">
        <f>IF(IF(A159&lt;&gt;"",VLOOKUP(A159,Employees!A:Q,4,0),"")="NULL","",IF(A159&lt;&gt;"",VLOOKUP(A159,Employees!A:Q,4,0),""))</f>
        <v/>
      </c>
      <c r="E159" s="17" t="str">
        <f>IF(IF(A159&lt;&gt;"",VLOOKUP(A159,Employees!A:Q,5,0),"")="NULL","",IF(A159&lt;&gt;"",VLOOKUP(A159,Employees!A:Q,5,0),""))</f>
        <v/>
      </c>
      <c r="F159" t="str">
        <f>IF(IF(A159&lt;&gt;"",VLOOKUP(A159,Employees!A:Q,9,0),"")="NULL","",IF(A159&lt;&gt;"",VLOOKUP(A159,Employees!A:Q,9,0),""))</f>
        <v/>
      </c>
      <c r="G159" t="str">
        <f>IF(IF(A159&lt;&gt;"",VLOOKUP(A159,Employees!A:Q,10,0),"")="NULL","",IF(A159&lt;&gt;"",VLOOKUP(A159,Employees!A:Q,10,0),""))</f>
        <v/>
      </c>
      <c r="H159" t="str">
        <f>IF(IF(A159&lt;&gt;"",VLOOKUP(A159,Employees!A:Q,11,0),"")="NULL","",IF(A159&lt;&gt;"",VLOOKUP(A159,Employees!A:Q,11,0),""))</f>
        <v/>
      </c>
      <c r="I159" s="25" t="str">
        <f>IFERROR(VALUE(IF(IF(A159&lt;&gt;"",VLOOKUP(A159,Employees!A:Q,12,0),"")="NULL","",IF(A159&lt;&gt;"",VLOOKUP(A159,Employees!A:Q,12,0),""))),"")</f>
        <v/>
      </c>
      <c r="J159" t="str">
        <f>IF(IF(A159&lt;&gt;"",VLOOKUP(A159,Employees!A:Q,14,0),"")="NULL","",IF(A159&lt;&gt;"",VLOOKUP(A159,Employees!A:Q,14,0),""))</f>
        <v/>
      </c>
    </row>
    <row r="160" spans="2:10" x14ac:dyDescent="0.25">
      <c r="B160" t="str">
        <f>IF(A160&lt;&gt;"",VLOOKUP(A160,Employees!A:Q,2,0),"")</f>
        <v/>
      </c>
      <c r="C160" t="str">
        <f>IF(A160&lt;&gt;"",VLOOKUP(A160,Employees!A:Q,3,0),"")</f>
        <v/>
      </c>
      <c r="D160" s="17" t="str">
        <f>IF(IF(A160&lt;&gt;"",VLOOKUP(A160,Employees!A:Q,4,0),"")="NULL","",IF(A160&lt;&gt;"",VLOOKUP(A160,Employees!A:Q,4,0),""))</f>
        <v/>
      </c>
      <c r="E160" s="17" t="str">
        <f>IF(IF(A160&lt;&gt;"",VLOOKUP(A160,Employees!A:Q,5,0),"")="NULL","",IF(A160&lt;&gt;"",VLOOKUP(A160,Employees!A:Q,5,0),""))</f>
        <v/>
      </c>
      <c r="F160" t="str">
        <f>IF(IF(A160&lt;&gt;"",VLOOKUP(A160,Employees!A:Q,9,0),"")="NULL","",IF(A160&lt;&gt;"",VLOOKUP(A160,Employees!A:Q,9,0),""))</f>
        <v/>
      </c>
      <c r="G160" t="str">
        <f>IF(IF(A160&lt;&gt;"",VLOOKUP(A160,Employees!A:Q,10,0),"")="NULL","",IF(A160&lt;&gt;"",VLOOKUP(A160,Employees!A:Q,10,0),""))</f>
        <v/>
      </c>
      <c r="H160" t="str">
        <f>IF(IF(A160&lt;&gt;"",VLOOKUP(A160,Employees!A:Q,11,0),"")="NULL","",IF(A160&lt;&gt;"",VLOOKUP(A160,Employees!A:Q,11,0),""))</f>
        <v/>
      </c>
      <c r="I160" s="25" t="str">
        <f>IFERROR(VALUE(IF(IF(A160&lt;&gt;"",VLOOKUP(A160,Employees!A:Q,12,0),"")="NULL","",IF(A160&lt;&gt;"",VLOOKUP(A160,Employees!A:Q,12,0),""))),"")</f>
        <v/>
      </c>
      <c r="J160" t="str">
        <f>IF(IF(A160&lt;&gt;"",VLOOKUP(A160,Employees!A:Q,14,0),"")="NULL","",IF(A160&lt;&gt;"",VLOOKUP(A160,Employees!A:Q,14,0),""))</f>
        <v/>
      </c>
    </row>
    <row r="161" spans="2:10" x14ac:dyDescent="0.25">
      <c r="B161" t="str">
        <f>IF(A161&lt;&gt;"",VLOOKUP(A161,Employees!A:Q,2,0),"")</f>
        <v/>
      </c>
      <c r="C161" t="str">
        <f>IF(A161&lt;&gt;"",VLOOKUP(A161,Employees!A:Q,3,0),"")</f>
        <v/>
      </c>
      <c r="D161" s="17" t="str">
        <f>IF(IF(A161&lt;&gt;"",VLOOKUP(A161,Employees!A:Q,4,0),"")="NULL","",IF(A161&lt;&gt;"",VLOOKUP(A161,Employees!A:Q,4,0),""))</f>
        <v/>
      </c>
      <c r="E161" s="17" t="str">
        <f>IF(IF(A161&lt;&gt;"",VLOOKUP(A161,Employees!A:Q,5,0),"")="NULL","",IF(A161&lt;&gt;"",VLOOKUP(A161,Employees!A:Q,5,0),""))</f>
        <v/>
      </c>
      <c r="F161" t="str">
        <f>IF(IF(A161&lt;&gt;"",VLOOKUP(A161,Employees!A:Q,9,0),"")="NULL","",IF(A161&lt;&gt;"",VLOOKUP(A161,Employees!A:Q,9,0),""))</f>
        <v/>
      </c>
      <c r="G161" t="str">
        <f>IF(IF(A161&lt;&gt;"",VLOOKUP(A161,Employees!A:Q,10,0),"")="NULL","",IF(A161&lt;&gt;"",VLOOKUP(A161,Employees!A:Q,10,0),""))</f>
        <v/>
      </c>
      <c r="H161" t="str">
        <f>IF(IF(A161&lt;&gt;"",VLOOKUP(A161,Employees!A:Q,11,0),"")="NULL","",IF(A161&lt;&gt;"",VLOOKUP(A161,Employees!A:Q,11,0),""))</f>
        <v/>
      </c>
      <c r="I161" s="25" t="str">
        <f>IFERROR(VALUE(IF(IF(A161&lt;&gt;"",VLOOKUP(A161,Employees!A:Q,12,0),"")="NULL","",IF(A161&lt;&gt;"",VLOOKUP(A161,Employees!A:Q,12,0),""))),"")</f>
        <v/>
      </c>
      <c r="J161" t="str">
        <f>IF(IF(A161&lt;&gt;"",VLOOKUP(A161,Employees!A:Q,14,0),"")="NULL","",IF(A161&lt;&gt;"",VLOOKUP(A161,Employees!A:Q,14,0),""))</f>
        <v/>
      </c>
    </row>
    <row r="162" spans="2:10" x14ac:dyDescent="0.25">
      <c r="B162" t="str">
        <f>IF(A162&lt;&gt;"",VLOOKUP(A162,Employees!A:Q,2,0),"")</f>
        <v/>
      </c>
      <c r="C162" t="str">
        <f>IF(A162&lt;&gt;"",VLOOKUP(A162,Employees!A:Q,3,0),"")</f>
        <v/>
      </c>
      <c r="D162" s="17" t="str">
        <f>IF(IF(A162&lt;&gt;"",VLOOKUP(A162,Employees!A:Q,4,0),"")="NULL","",IF(A162&lt;&gt;"",VLOOKUP(A162,Employees!A:Q,4,0),""))</f>
        <v/>
      </c>
      <c r="E162" s="17" t="str">
        <f>IF(IF(A162&lt;&gt;"",VLOOKUP(A162,Employees!A:Q,5,0),"")="NULL","",IF(A162&lt;&gt;"",VLOOKUP(A162,Employees!A:Q,5,0),""))</f>
        <v/>
      </c>
      <c r="F162" t="str">
        <f>IF(IF(A162&lt;&gt;"",VLOOKUP(A162,Employees!A:Q,9,0),"")="NULL","",IF(A162&lt;&gt;"",VLOOKUP(A162,Employees!A:Q,9,0),""))</f>
        <v/>
      </c>
      <c r="G162" t="str">
        <f>IF(IF(A162&lt;&gt;"",VLOOKUP(A162,Employees!A:Q,10,0),"")="NULL","",IF(A162&lt;&gt;"",VLOOKUP(A162,Employees!A:Q,10,0),""))</f>
        <v/>
      </c>
      <c r="H162" t="str">
        <f>IF(IF(A162&lt;&gt;"",VLOOKUP(A162,Employees!A:Q,11,0),"")="NULL","",IF(A162&lt;&gt;"",VLOOKUP(A162,Employees!A:Q,11,0),""))</f>
        <v/>
      </c>
      <c r="I162" s="25" t="str">
        <f>IFERROR(VALUE(IF(IF(A162&lt;&gt;"",VLOOKUP(A162,Employees!A:Q,12,0),"")="NULL","",IF(A162&lt;&gt;"",VLOOKUP(A162,Employees!A:Q,12,0),""))),"")</f>
        <v/>
      </c>
      <c r="J162" t="str">
        <f>IF(IF(A162&lt;&gt;"",VLOOKUP(A162,Employees!A:Q,14,0),"")="NULL","",IF(A162&lt;&gt;"",VLOOKUP(A162,Employees!A:Q,14,0),""))</f>
        <v/>
      </c>
    </row>
    <row r="163" spans="2:10" x14ac:dyDescent="0.25">
      <c r="B163" t="str">
        <f>IF(A163&lt;&gt;"",VLOOKUP(A163,Employees!A:Q,2,0),"")</f>
        <v/>
      </c>
      <c r="C163" t="str">
        <f>IF(A163&lt;&gt;"",VLOOKUP(A163,Employees!A:Q,3,0),"")</f>
        <v/>
      </c>
      <c r="D163" s="17" t="str">
        <f>IF(IF(A163&lt;&gt;"",VLOOKUP(A163,Employees!A:Q,4,0),"")="NULL","",IF(A163&lt;&gt;"",VLOOKUP(A163,Employees!A:Q,4,0),""))</f>
        <v/>
      </c>
      <c r="E163" s="17" t="str">
        <f>IF(IF(A163&lt;&gt;"",VLOOKUP(A163,Employees!A:Q,5,0),"")="NULL","",IF(A163&lt;&gt;"",VLOOKUP(A163,Employees!A:Q,5,0),""))</f>
        <v/>
      </c>
      <c r="F163" t="str">
        <f>IF(IF(A163&lt;&gt;"",VLOOKUP(A163,Employees!A:Q,9,0),"")="NULL","",IF(A163&lt;&gt;"",VLOOKUP(A163,Employees!A:Q,9,0),""))</f>
        <v/>
      </c>
      <c r="G163" t="str">
        <f>IF(IF(A163&lt;&gt;"",VLOOKUP(A163,Employees!A:Q,10,0),"")="NULL","",IF(A163&lt;&gt;"",VLOOKUP(A163,Employees!A:Q,10,0),""))</f>
        <v/>
      </c>
      <c r="H163" t="str">
        <f>IF(IF(A163&lt;&gt;"",VLOOKUP(A163,Employees!A:Q,11,0),"")="NULL","",IF(A163&lt;&gt;"",VLOOKUP(A163,Employees!A:Q,11,0),""))</f>
        <v/>
      </c>
      <c r="I163" s="25" t="str">
        <f>IFERROR(VALUE(IF(IF(A163&lt;&gt;"",VLOOKUP(A163,Employees!A:Q,12,0),"")="NULL","",IF(A163&lt;&gt;"",VLOOKUP(A163,Employees!A:Q,12,0),""))),"")</f>
        <v/>
      </c>
      <c r="J163" t="str">
        <f>IF(IF(A163&lt;&gt;"",VLOOKUP(A163,Employees!A:Q,14,0),"")="NULL","",IF(A163&lt;&gt;"",VLOOKUP(A163,Employees!A:Q,14,0),""))</f>
        <v/>
      </c>
    </row>
    <row r="164" spans="2:10" x14ac:dyDescent="0.25">
      <c r="B164" t="str">
        <f>IF(A164&lt;&gt;"",VLOOKUP(A164,Employees!A:Q,2,0),"")</f>
        <v/>
      </c>
      <c r="C164" t="str">
        <f>IF(A164&lt;&gt;"",VLOOKUP(A164,Employees!A:Q,3,0),"")</f>
        <v/>
      </c>
      <c r="D164" s="17" t="str">
        <f>IF(IF(A164&lt;&gt;"",VLOOKUP(A164,Employees!A:Q,4,0),"")="NULL","",IF(A164&lt;&gt;"",VLOOKUP(A164,Employees!A:Q,4,0),""))</f>
        <v/>
      </c>
      <c r="E164" s="17" t="str">
        <f>IF(IF(A164&lt;&gt;"",VLOOKUP(A164,Employees!A:Q,5,0),"")="NULL","",IF(A164&lt;&gt;"",VLOOKUP(A164,Employees!A:Q,5,0),""))</f>
        <v/>
      </c>
      <c r="F164" t="str">
        <f>IF(IF(A164&lt;&gt;"",VLOOKUP(A164,Employees!A:Q,9,0),"")="NULL","",IF(A164&lt;&gt;"",VLOOKUP(A164,Employees!A:Q,9,0),""))</f>
        <v/>
      </c>
      <c r="G164" t="str">
        <f>IF(IF(A164&lt;&gt;"",VLOOKUP(A164,Employees!A:Q,10,0),"")="NULL","",IF(A164&lt;&gt;"",VLOOKUP(A164,Employees!A:Q,10,0),""))</f>
        <v/>
      </c>
      <c r="H164" t="str">
        <f>IF(IF(A164&lt;&gt;"",VLOOKUP(A164,Employees!A:Q,11,0),"")="NULL","",IF(A164&lt;&gt;"",VLOOKUP(A164,Employees!A:Q,11,0),""))</f>
        <v/>
      </c>
      <c r="I164" s="25" t="str">
        <f>IFERROR(VALUE(IF(IF(A164&lt;&gt;"",VLOOKUP(A164,Employees!A:Q,12,0),"")="NULL","",IF(A164&lt;&gt;"",VLOOKUP(A164,Employees!A:Q,12,0),""))),"")</f>
        <v/>
      </c>
      <c r="J164" t="str">
        <f>IF(IF(A164&lt;&gt;"",VLOOKUP(A164,Employees!A:Q,14,0),"")="NULL","",IF(A164&lt;&gt;"",VLOOKUP(A164,Employees!A:Q,14,0),""))</f>
        <v/>
      </c>
    </row>
    <row r="165" spans="2:10" x14ac:dyDescent="0.25">
      <c r="B165" t="str">
        <f>IF(A165&lt;&gt;"",VLOOKUP(A165,Employees!A:Q,2,0),"")</f>
        <v/>
      </c>
      <c r="C165" t="str">
        <f>IF(A165&lt;&gt;"",VLOOKUP(A165,Employees!A:Q,3,0),"")</f>
        <v/>
      </c>
      <c r="D165" s="17" t="str">
        <f>IF(IF(A165&lt;&gt;"",VLOOKUP(A165,Employees!A:Q,4,0),"")="NULL","",IF(A165&lt;&gt;"",VLOOKUP(A165,Employees!A:Q,4,0),""))</f>
        <v/>
      </c>
      <c r="E165" s="17" t="str">
        <f>IF(IF(A165&lt;&gt;"",VLOOKUP(A165,Employees!A:Q,5,0),"")="NULL","",IF(A165&lt;&gt;"",VLOOKUP(A165,Employees!A:Q,5,0),""))</f>
        <v/>
      </c>
      <c r="F165" t="str">
        <f>IF(IF(A165&lt;&gt;"",VLOOKUP(A165,Employees!A:Q,9,0),"")="NULL","",IF(A165&lt;&gt;"",VLOOKUP(A165,Employees!A:Q,9,0),""))</f>
        <v/>
      </c>
      <c r="G165" t="str">
        <f>IF(IF(A165&lt;&gt;"",VLOOKUP(A165,Employees!A:Q,10,0),"")="NULL","",IF(A165&lt;&gt;"",VLOOKUP(A165,Employees!A:Q,10,0),""))</f>
        <v/>
      </c>
      <c r="H165" t="str">
        <f>IF(IF(A165&lt;&gt;"",VLOOKUP(A165,Employees!A:Q,11,0),"")="NULL","",IF(A165&lt;&gt;"",VLOOKUP(A165,Employees!A:Q,11,0),""))</f>
        <v/>
      </c>
      <c r="I165" s="25" t="str">
        <f>IFERROR(VALUE(IF(IF(A165&lt;&gt;"",VLOOKUP(A165,Employees!A:Q,12,0),"")="NULL","",IF(A165&lt;&gt;"",VLOOKUP(A165,Employees!A:Q,12,0),""))),"")</f>
        <v/>
      </c>
      <c r="J165" t="str">
        <f>IF(IF(A165&lt;&gt;"",VLOOKUP(A165,Employees!A:Q,14,0),"")="NULL","",IF(A165&lt;&gt;"",VLOOKUP(A165,Employees!A:Q,14,0),""))</f>
        <v/>
      </c>
    </row>
    <row r="166" spans="2:10" x14ac:dyDescent="0.25">
      <c r="B166" t="str">
        <f>IF(A166&lt;&gt;"",VLOOKUP(A166,Employees!A:Q,2,0),"")</f>
        <v/>
      </c>
      <c r="C166" t="str">
        <f>IF(A166&lt;&gt;"",VLOOKUP(A166,Employees!A:Q,3,0),"")</f>
        <v/>
      </c>
      <c r="D166" s="17" t="str">
        <f>IF(IF(A166&lt;&gt;"",VLOOKUP(A166,Employees!A:Q,4,0),"")="NULL","",IF(A166&lt;&gt;"",VLOOKUP(A166,Employees!A:Q,4,0),""))</f>
        <v/>
      </c>
      <c r="E166" s="17" t="str">
        <f>IF(IF(A166&lt;&gt;"",VLOOKUP(A166,Employees!A:Q,5,0),"")="NULL","",IF(A166&lt;&gt;"",VLOOKUP(A166,Employees!A:Q,5,0),""))</f>
        <v/>
      </c>
      <c r="F166" t="str">
        <f>IF(IF(A166&lt;&gt;"",VLOOKUP(A166,Employees!A:Q,9,0),"")="NULL","",IF(A166&lt;&gt;"",VLOOKUP(A166,Employees!A:Q,9,0),""))</f>
        <v/>
      </c>
      <c r="G166" t="str">
        <f>IF(IF(A166&lt;&gt;"",VLOOKUP(A166,Employees!A:Q,10,0),"")="NULL","",IF(A166&lt;&gt;"",VLOOKUP(A166,Employees!A:Q,10,0),""))</f>
        <v/>
      </c>
      <c r="H166" t="str">
        <f>IF(IF(A166&lt;&gt;"",VLOOKUP(A166,Employees!A:Q,11,0),"")="NULL","",IF(A166&lt;&gt;"",VLOOKUP(A166,Employees!A:Q,11,0),""))</f>
        <v/>
      </c>
      <c r="I166" s="25" t="str">
        <f>IFERROR(VALUE(IF(IF(A166&lt;&gt;"",VLOOKUP(A166,Employees!A:Q,12,0),"")="NULL","",IF(A166&lt;&gt;"",VLOOKUP(A166,Employees!A:Q,12,0),""))),"")</f>
        <v/>
      </c>
      <c r="J166" t="str">
        <f>IF(IF(A166&lt;&gt;"",VLOOKUP(A166,Employees!A:Q,14,0),"")="NULL","",IF(A166&lt;&gt;"",VLOOKUP(A166,Employees!A:Q,14,0),""))</f>
        <v/>
      </c>
    </row>
    <row r="167" spans="2:10" x14ac:dyDescent="0.25">
      <c r="B167" t="str">
        <f>IF(A167&lt;&gt;"",VLOOKUP(A167,Employees!A:Q,2,0),"")</f>
        <v/>
      </c>
      <c r="C167" t="str">
        <f>IF(A167&lt;&gt;"",VLOOKUP(A167,Employees!A:Q,3,0),"")</f>
        <v/>
      </c>
      <c r="D167" s="17" t="str">
        <f>IF(IF(A167&lt;&gt;"",VLOOKUP(A167,Employees!A:Q,4,0),"")="NULL","",IF(A167&lt;&gt;"",VLOOKUP(A167,Employees!A:Q,4,0),""))</f>
        <v/>
      </c>
      <c r="E167" s="17" t="str">
        <f>IF(IF(A167&lt;&gt;"",VLOOKUP(A167,Employees!A:Q,5,0),"")="NULL","",IF(A167&lt;&gt;"",VLOOKUP(A167,Employees!A:Q,5,0),""))</f>
        <v/>
      </c>
      <c r="F167" t="str">
        <f>IF(IF(A167&lt;&gt;"",VLOOKUP(A167,Employees!A:Q,9,0),"")="NULL","",IF(A167&lt;&gt;"",VLOOKUP(A167,Employees!A:Q,9,0),""))</f>
        <v/>
      </c>
      <c r="G167" t="str">
        <f>IF(IF(A167&lt;&gt;"",VLOOKUP(A167,Employees!A:Q,10,0),"")="NULL","",IF(A167&lt;&gt;"",VLOOKUP(A167,Employees!A:Q,10,0),""))</f>
        <v/>
      </c>
      <c r="H167" t="str">
        <f>IF(IF(A167&lt;&gt;"",VLOOKUP(A167,Employees!A:Q,11,0),"")="NULL","",IF(A167&lt;&gt;"",VLOOKUP(A167,Employees!A:Q,11,0),""))</f>
        <v/>
      </c>
      <c r="I167" s="25" t="str">
        <f>IFERROR(VALUE(IF(IF(A167&lt;&gt;"",VLOOKUP(A167,Employees!A:Q,12,0),"")="NULL","",IF(A167&lt;&gt;"",VLOOKUP(A167,Employees!A:Q,12,0),""))),"")</f>
        <v/>
      </c>
      <c r="J167" t="str">
        <f>IF(IF(A167&lt;&gt;"",VLOOKUP(A167,Employees!A:Q,14,0),"")="NULL","",IF(A167&lt;&gt;"",VLOOKUP(A167,Employees!A:Q,14,0),""))</f>
        <v/>
      </c>
    </row>
    <row r="168" spans="2:10" x14ac:dyDescent="0.25">
      <c r="B168" t="str">
        <f>IF(A168&lt;&gt;"",VLOOKUP(A168,Employees!A:Q,2,0),"")</f>
        <v/>
      </c>
      <c r="C168" t="str">
        <f>IF(A168&lt;&gt;"",VLOOKUP(A168,Employees!A:Q,3,0),"")</f>
        <v/>
      </c>
      <c r="D168" s="17" t="str">
        <f>IF(IF(A168&lt;&gt;"",VLOOKUP(A168,Employees!A:Q,4,0),"")="NULL","",IF(A168&lt;&gt;"",VLOOKUP(A168,Employees!A:Q,4,0),""))</f>
        <v/>
      </c>
      <c r="E168" s="17" t="str">
        <f>IF(IF(A168&lt;&gt;"",VLOOKUP(A168,Employees!A:Q,5,0),"")="NULL","",IF(A168&lt;&gt;"",VLOOKUP(A168,Employees!A:Q,5,0),""))</f>
        <v/>
      </c>
      <c r="F168" t="str">
        <f>IF(IF(A168&lt;&gt;"",VLOOKUP(A168,Employees!A:Q,9,0),"")="NULL","",IF(A168&lt;&gt;"",VLOOKUP(A168,Employees!A:Q,9,0),""))</f>
        <v/>
      </c>
      <c r="G168" t="str">
        <f>IF(IF(A168&lt;&gt;"",VLOOKUP(A168,Employees!A:Q,10,0),"")="NULL","",IF(A168&lt;&gt;"",VLOOKUP(A168,Employees!A:Q,10,0),""))</f>
        <v/>
      </c>
      <c r="H168" t="str">
        <f>IF(IF(A168&lt;&gt;"",VLOOKUP(A168,Employees!A:Q,11,0),"")="NULL","",IF(A168&lt;&gt;"",VLOOKUP(A168,Employees!A:Q,11,0),""))</f>
        <v/>
      </c>
      <c r="I168" s="25" t="str">
        <f>IFERROR(VALUE(IF(IF(A168&lt;&gt;"",VLOOKUP(A168,Employees!A:Q,12,0),"")="NULL","",IF(A168&lt;&gt;"",VLOOKUP(A168,Employees!A:Q,12,0),""))),"")</f>
        <v/>
      </c>
      <c r="J168" t="str">
        <f>IF(IF(A168&lt;&gt;"",VLOOKUP(A168,Employees!A:Q,14,0),"")="NULL","",IF(A168&lt;&gt;"",VLOOKUP(A168,Employees!A:Q,14,0),""))</f>
        <v/>
      </c>
    </row>
    <row r="169" spans="2:10" x14ac:dyDescent="0.25">
      <c r="B169" t="str">
        <f>IF(A169&lt;&gt;"",VLOOKUP(A169,Employees!A:Q,2,0),"")</f>
        <v/>
      </c>
      <c r="C169" t="str">
        <f>IF(A169&lt;&gt;"",VLOOKUP(A169,Employees!A:Q,3,0),"")</f>
        <v/>
      </c>
      <c r="D169" s="17" t="str">
        <f>IF(IF(A169&lt;&gt;"",VLOOKUP(A169,Employees!A:Q,4,0),"")="NULL","",IF(A169&lt;&gt;"",VLOOKUP(A169,Employees!A:Q,4,0),""))</f>
        <v/>
      </c>
      <c r="E169" s="17" t="str">
        <f>IF(IF(A169&lt;&gt;"",VLOOKUP(A169,Employees!A:Q,5,0),"")="NULL","",IF(A169&lt;&gt;"",VLOOKUP(A169,Employees!A:Q,5,0),""))</f>
        <v/>
      </c>
      <c r="F169" t="str">
        <f>IF(IF(A169&lt;&gt;"",VLOOKUP(A169,Employees!A:Q,9,0),"")="NULL","",IF(A169&lt;&gt;"",VLOOKUP(A169,Employees!A:Q,9,0),""))</f>
        <v/>
      </c>
      <c r="G169" t="str">
        <f>IF(IF(A169&lt;&gt;"",VLOOKUP(A169,Employees!A:Q,10,0),"")="NULL","",IF(A169&lt;&gt;"",VLOOKUP(A169,Employees!A:Q,10,0),""))</f>
        <v/>
      </c>
      <c r="H169" t="str">
        <f>IF(IF(A169&lt;&gt;"",VLOOKUP(A169,Employees!A:Q,11,0),"")="NULL","",IF(A169&lt;&gt;"",VLOOKUP(A169,Employees!A:Q,11,0),""))</f>
        <v/>
      </c>
      <c r="I169" s="25" t="str">
        <f>IFERROR(VALUE(IF(IF(A169&lt;&gt;"",VLOOKUP(A169,Employees!A:Q,12,0),"")="NULL","",IF(A169&lt;&gt;"",VLOOKUP(A169,Employees!A:Q,12,0),""))),"")</f>
        <v/>
      </c>
      <c r="J169" t="str">
        <f>IF(IF(A169&lt;&gt;"",VLOOKUP(A169,Employees!A:Q,14,0),"")="NULL","",IF(A169&lt;&gt;"",VLOOKUP(A169,Employees!A:Q,14,0),""))</f>
        <v/>
      </c>
    </row>
    <row r="170" spans="2:10" x14ac:dyDescent="0.25">
      <c r="B170" t="str">
        <f>IF(A170&lt;&gt;"",VLOOKUP(A170,Employees!A:Q,2,0),"")</f>
        <v/>
      </c>
      <c r="C170" t="str">
        <f>IF(A170&lt;&gt;"",VLOOKUP(A170,Employees!A:Q,3,0),"")</f>
        <v/>
      </c>
      <c r="D170" s="17" t="str">
        <f>IF(IF(A170&lt;&gt;"",VLOOKUP(A170,Employees!A:Q,4,0),"")="NULL","",IF(A170&lt;&gt;"",VLOOKUP(A170,Employees!A:Q,4,0),""))</f>
        <v/>
      </c>
      <c r="E170" s="17" t="str">
        <f>IF(IF(A170&lt;&gt;"",VLOOKUP(A170,Employees!A:Q,5,0),"")="NULL","",IF(A170&lt;&gt;"",VLOOKUP(A170,Employees!A:Q,5,0),""))</f>
        <v/>
      </c>
      <c r="F170" t="str">
        <f>IF(IF(A170&lt;&gt;"",VLOOKUP(A170,Employees!A:Q,9,0),"")="NULL","",IF(A170&lt;&gt;"",VLOOKUP(A170,Employees!A:Q,9,0),""))</f>
        <v/>
      </c>
      <c r="G170" t="str">
        <f>IF(IF(A170&lt;&gt;"",VLOOKUP(A170,Employees!A:Q,10,0),"")="NULL","",IF(A170&lt;&gt;"",VLOOKUP(A170,Employees!A:Q,10,0),""))</f>
        <v/>
      </c>
      <c r="H170" t="str">
        <f>IF(IF(A170&lt;&gt;"",VLOOKUP(A170,Employees!A:Q,11,0),"")="NULL","",IF(A170&lt;&gt;"",VLOOKUP(A170,Employees!A:Q,11,0),""))</f>
        <v/>
      </c>
      <c r="I170" s="25" t="str">
        <f>IFERROR(VALUE(IF(IF(A170&lt;&gt;"",VLOOKUP(A170,Employees!A:Q,12,0),"")="NULL","",IF(A170&lt;&gt;"",VLOOKUP(A170,Employees!A:Q,12,0),""))),"")</f>
        <v/>
      </c>
      <c r="J170" t="str">
        <f>IF(IF(A170&lt;&gt;"",VLOOKUP(A170,Employees!A:Q,14,0),"")="NULL","",IF(A170&lt;&gt;"",VLOOKUP(A170,Employees!A:Q,14,0),""))</f>
        <v/>
      </c>
    </row>
    <row r="171" spans="2:10" x14ac:dyDescent="0.25">
      <c r="B171" t="str">
        <f>IF(A171&lt;&gt;"",VLOOKUP(A171,Employees!A:Q,2,0),"")</f>
        <v/>
      </c>
      <c r="C171" t="str">
        <f>IF(A171&lt;&gt;"",VLOOKUP(A171,Employees!A:Q,3,0),"")</f>
        <v/>
      </c>
      <c r="D171" s="17" t="str">
        <f>IF(IF(A171&lt;&gt;"",VLOOKUP(A171,Employees!A:Q,4,0),"")="NULL","",IF(A171&lt;&gt;"",VLOOKUP(A171,Employees!A:Q,4,0),""))</f>
        <v/>
      </c>
      <c r="E171" s="17" t="str">
        <f>IF(IF(A171&lt;&gt;"",VLOOKUP(A171,Employees!A:Q,5,0),"")="NULL","",IF(A171&lt;&gt;"",VLOOKUP(A171,Employees!A:Q,5,0),""))</f>
        <v/>
      </c>
      <c r="F171" t="str">
        <f>IF(IF(A171&lt;&gt;"",VLOOKUP(A171,Employees!A:Q,9,0),"")="NULL","",IF(A171&lt;&gt;"",VLOOKUP(A171,Employees!A:Q,9,0),""))</f>
        <v/>
      </c>
      <c r="G171" t="str">
        <f>IF(IF(A171&lt;&gt;"",VLOOKUP(A171,Employees!A:Q,10,0),"")="NULL","",IF(A171&lt;&gt;"",VLOOKUP(A171,Employees!A:Q,10,0),""))</f>
        <v/>
      </c>
      <c r="H171" t="str">
        <f>IF(IF(A171&lt;&gt;"",VLOOKUP(A171,Employees!A:Q,11,0),"")="NULL","",IF(A171&lt;&gt;"",VLOOKUP(A171,Employees!A:Q,11,0),""))</f>
        <v/>
      </c>
      <c r="I171" s="25" t="str">
        <f>IFERROR(VALUE(IF(IF(A171&lt;&gt;"",VLOOKUP(A171,Employees!A:Q,12,0),"")="NULL","",IF(A171&lt;&gt;"",VLOOKUP(A171,Employees!A:Q,12,0),""))),"")</f>
        <v/>
      </c>
      <c r="J171" t="str">
        <f>IF(IF(A171&lt;&gt;"",VLOOKUP(A171,Employees!A:Q,14,0),"")="NULL","",IF(A171&lt;&gt;"",VLOOKUP(A171,Employees!A:Q,14,0),""))</f>
        <v/>
      </c>
    </row>
    <row r="172" spans="2:10" x14ac:dyDescent="0.25">
      <c r="B172" t="str">
        <f>IF(A172&lt;&gt;"",VLOOKUP(A172,Employees!A:Q,2,0),"")</f>
        <v/>
      </c>
      <c r="C172" t="str">
        <f>IF(A172&lt;&gt;"",VLOOKUP(A172,Employees!A:Q,3,0),"")</f>
        <v/>
      </c>
      <c r="D172" s="17" t="str">
        <f>IF(IF(A172&lt;&gt;"",VLOOKUP(A172,Employees!A:Q,4,0),"")="NULL","",IF(A172&lt;&gt;"",VLOOKUP(A172,Employees!A:Q,4,0),""))</f>
        <v/>
      </c>
      <c r="E172" s="17" t="str">
        <f>IF(IF(A172&lt;&gt;"",VLOOKUP(A172,Employees!A:Q,5,0),"")="NULL","",IF(A172&lt;&gt;"",VLOOKUP(A172,Employees!A:Q,5,0),""))</f>
        <v/>
      </c>
      <c r="F172" t="str">
        <f>IF(IF(A172&lt;&gt;"",VLOOKUP(A172,Employees!A:Q,9,0),"")="NULL","",IF(A172&lt;&gt;"",VLOOKUP(A172,Employees!A:Q,9,0),""))</f>
        <v/>
      </c>
      <c r="G172" t="str">
        <f>IF(IF(A172&lt;&gt;"",VLOOKUP(A172,Employees!A:Q,10,0),"")="NULL","",IF(A172&lt;&gt;"",VLOOKUP(A172,Employees!A:Q,10,0),""))</f>
        <v/>
      </c>
      <c r="H172" t="str">
        <f>IF(IF(A172&lt;&gt;"",VLOOKUP(A172,Employees!A:Q,11,0),"")="NULL","",IF(A172&lt;&gt;"",VLOOKUP(A172,Employees!A:Q,11,0),""))</f>
        <v/>
      </c>
      <c r="I172" s="25" t="str">
        <f>IFERROR(VALUE(IF(IF(A172&lt;&gt;"",VLOOKUP(A172,Employees!A:Q,12,0),"")="NULL","",IF(A172&lt;&gt;"",VLOOKUP(A172,Employees!A:Q,12,0),""))),"")</f>
        <v/>
      </c>
      <c r="J172" t="str">
        <f>IF(IF(A172&lt;&gt;"",VLOOKUP(A172,Employees!A:Q,14,0),"")="NULL","",IF(A172&lt;&gt;"",VLOOKUP(A172,Employees!A:Q,14,0),""))</f>
        <v/>
      </c>
    </row>
    <row r="173" spans="2:10" x14ac:dyDescent="0.25">
      <c r="B173" t="str">
        <f>IF(A173&lt;&gt;"",VLOOKUP(A173,Employees!A:Q,2,0),"")</f>
        <v/>
      </c>
      <c r="C173" t="str">
        <f>IF(A173&lt;&gt;"",VLOOKUP(A173,Employees!A:Q,3,0),"")</f>
        <v/>
      </c>
      <c r="D173" s="17" t="str">
        <f>IF(IF(A173&lt;&gt;"",VLOOKUP(A173,Employees!A:Q,4,0),"")="NULL","",IF(A173&lt;&gt;"",VLOOKUP(A173,Employees!A:Q,4,0),""))</f>
        <v/>
      </c>
      <c r="E173" s="17" t="str">
        <f>IF(IF(A173&lt;&gt;"",VLOOKUP(A173,Employees!A:Q,5,0),"")="NULL","",IF(A173&lt;&gt;"",VLOOKUP(A173,Employees!A:Q,5,0),""))</f>
        <v/>
      </c>
      <c r="F173" t="str">
        <f>IF(IF(A173&lt;&gt;"",VLOOKUP(A173,Employees!A:Q,9,0),"")="NULL","",IF(A173&lt;&gt;"",VLOOKUP(A173,Employees!A:Q,9,0),""))</f>
        <v/>
      </c>
      <c r="G173" t="str">
        <f>IF(IF(A173&lt;&gt;"",VLOOKUP(A173,Employees!A:Q,10,0),"")="NULL","",IF(A173&lt;&gt;"",VLOOKUP(A173,Employees!A:Q,10,0),""))</f>
        <v/>
      </c>
      <c r="H173" t="str">
        <f>IF(IF(A173&lt;&gt;"",VLOOKUP(A173,Employees!A:Q,11,0),"")="NULL","",IF(A173&lt;&gt;"",VLOOKUP(A173,Employees!A:Q,11,0),""))</f>
        <v/>
      </c>
      <c r="I173" s="25" t="str">
        <f>IFERROR(VALUE(IF(IF(A173&lt;&gt;"",VLOOKUP(A173,Employees!A:Q,12,0),"")="NULL","",IF(A173&lt;&gt;"",VLOOKUP(A173,Employees!A:Q,12,0),""))),"")</f>
        <v/>
      </c>
      <c r="J173" t="str">
        <f>IF(IF(A173&lt;&gt;"",VLOOKUP(A173,Employees!A:Q,14,0),"")="NULL","",IF(A173&lt;&gt;"",VLOOKUP(A173,Employees!A:Q,14,0),""))</f>
        <v/>
      </c>
    </row>
    <row r="174" spans="2:10" x14ac:dyDescent="0.25">
      <c r="B174" t="str">
        <f>IF(A174&lt;&gt;"",VLOOKUP(A174,Employees!A:Q,2,0),"")</f>
        <v/>
      </c>
      <c r="C174" t="str">
        <f>IF(A174&lt;&gt;"",VLOOKUP(A174,Employees!A:Q,3,0),"")</f>
        <v/>
      </c>
      <c r="D174" s="17" t="str">
        <f>IF(IF(A174&lt;&gt;"",VLOOKUP(A174,Employees!A:Q,4,0),"")="NULL","",IF(A174&lt;&gt;"",VLOOKUP(A174,Employees!A:Q,4,0),""))</f>
        <v/>
      </c>
      <c r="E174" s="17" t="str">
        <f>IF(IF(A174&lt;&gt;"",VLOOKUP(A174,Employees!A:Q,5,0),"")="NULL","",IF(A174&lt;&gt;"",VLOOKUP(A174,Employees!A:Q,5,0),""))</f>
        <v/>
      </c>
      <c r="F174" t="str">
        <f>IF(IF(A174&lt;&gt;"",VLOOKUP(A174,Employees!A:Q,9,0),"")="NULL","",IF(A174&lt;&gt;"",VLOOKUP(A174,Employees!A:Q,9,0),""))</f>
        <v/>
      </c>
      <c r="G174" t="str">
        <f>IF(IF(A174&lt;&gt;"",VLOOKUP(A174,Employees!A:Q,10,0),"")="NULL","",IF(A174&lt;&gt;"",VLOOKUP(A174,Employees!A:Q,10,0),""))</f>
        <v/>
      </c>
      <c r="H174" t="str">
        <f>IF(IF(A174&lt;&gt;"",VLOOKUP(A174,Employees!A:Q,11,0),"")="NULL","",IF(A174&lt;&gt;"",VLOOKUP(A174,Employees!A:Q,11,0),""))</f>
        <v/>
      </c>
      <c r="I174" s="25" t="str">
        <f>IFERROR(VALUE(IF(IF(A174&lt;&gt;"",VLOOKUP(A174,Employees!A:Q,12,0),"")="NULL","",IF(A174&lt;&gt;"",VLOOKUP(A174,Employees!A:Q,12,0),""))),"")</f>
        <v/>
      </c>
      <c r="J174" t="str">
        <f>IF(IF(A174&lt;&gt;"",VLOOKUP(A174,Employees!A:Q,14,0),"")="NULL","",IF(A174&lt;&gt;"",VLOOKUP(A174,Employees!A:Q,14,0),""))</f>
        <v/>
      </c>
    </row>
    <row r="175" spans="2:10" x14ac:dyDescent="0.25">
      <c r="B175" t="str">
        <f>IF(A175&lt;&gt;"",VLOOKUP(A175,Employees!A:Q,2,0),"")</f>
        <v/>
      </c>
      <c r="C175" t="str">
        <f>IF(A175&lt;&gt;"",VLOOKUP(A175,Employees!A:Q,3,0),"")</f>
        <v/>
      </c>
      <c r="D175" s="17" t="str">
        <f>IF(IF(A175&lt;&gt;"",VLOOKUP(A175,Employees!A:Q,4,0),"")="NULL","",IF(A175&lt;&gt;"",VLOOKUP(A175,Employees!A:Q,4,0),""))</f>
        <v/>
      </c>
      <c r="E175" s="17" t="str">
        <f>IF(IF(A175&lt;&gt;"",VLOOKUP(A175,Employees!A:Q,5,0),"")="NULL","",IF(A175&lt;&gt;"",VLOOKUP(A175,Employees!A:Q,5,0),""))</f>
        <v/>
      </c>
      <c r="F175" t="str">
        <f>IF(IF(A175&lt;&gt;"",VLOOKUP(A175,Employees!A:Q,9,0),"")="NULL","",IF(A175&lt;&gt;"",VLOOKUP(A175,Employees!A:Q,9,0),""))</f>
        <v/>
      </c>
      <c r="G175" t="str">
        <f>IF(IF(A175&lt;&gt;"",VLOOKUP(A175,Employees!A:Q,10,0),"")="NULL","",IF(A175&lt;&gt;"",VLOOKUP(A175,Employees!A:Q,10,0),""))</f>
        <v/>
      </c>
      <c r="H175" t="str">
        <f>IF(IF(A175&lt;&gt;"",VLOOKUP(A175,Employees!A:Q,11,0),"")="NULL","",IF(A175&lt;&gt;"",VLOOKUP(A175,Employees!A:Q,11,0),""))</f>
        <v/>
      </c>
      <c r="I175" s="25" t="str">
        <f>IFERROR(VALUE(IF(IF(A175&lt;&gt;"",VLOOKUP(A175,Employees!A:Q,12,0),"")="NULL","",IF(A175&lt;&gt;"",VLOOKUP(A175,Employees!A:Q,12,0),""))),"")</f>
        <v/>
      </c>
      <c r="J175" t="str">
        <f>IF(IF(A175&lt;&gt;"",VLOOKUP(A175,Employees!A:Q,14,0),"")="NULL","",IF(A175&lt;&gt;"",VLOOKUP(A175,Employees!A:Q,14,0),""))</f>
        <v/>
      </c>
    </row>
    <row r="176" spans="2:10" x14ac:dyDescent="0.25">
      <c r="B176" t="str">
        <f>IF(A176&lt;&gt;"",VLOOKUP(A176,Employees!A:Q,2,0),"")</f>
        <v/>
      </c>
      <c r="C176" t="str">
        <f>IF(A176&lt;&gt;"",VLOOKUP(A176,Employees!A:Q,3,0),"")</f>
        <v/>
      </c>
      <c r="D176" s="17" t="str">
        <f>IF(IF(A176&lt;&gt;"",VLOOKUP(A176,Employees!A:Q,4,0),"")="NULL","",IF(A176&lt;&gt;"",VLOOKUP(A176,Employees!A:Q,4,0),""))</f>
        <v/>
      </c>
      <c r="E176" s="17" t="str">
        <f>IF(IF(A176&lt;&gt;"",VLOOKUP(A176,Employees!A:Q,5,0),"")="NULL","",IF(A176&lt;&gt;"",VLOOKUP(A176,Employees!A:Q,5,0),""))</f>
        <v/>
      </c>
      <c r="F176" t="str">
        <f>IF(IF(A176&lt;&gt;"",VLOOKUP(A176,Employees!A:Q,9,0),"")="NULL","",IF(A176&lt;&gt;"",VLOOKUP(A176,Employees!A:Q,9,0),""))</f>
        <v/>
      </c>
      <c r="G176" t="str">
        <f>IF(IF(A176&lt;&gt;"",VLOOKUP(A176,Employees!A:Q,10,0),"")="NULL","",IF(A176&lt;&gt;"",VLOOKUP(A176,Employees!A:Q,10,0),""))</f>
        <v/>
      </c>
      <c r="H176" t="str">
        <f>IF(IF(A176&lt;&gt;"",VLOOKUP(A176,Employees!A:Q,11,0),"")="NULL","",IF(A176&lt;&gt;"",VLOOKUP(A176,Employees!A:Q,11,0),""))</f>
        <v/>
      </c>
      <c r="I176" s="25" t="str">
        <f>IFERROR(VALUE(IF(IF(A176&lt;&gt;"",VLOOKUP(A176,Employees!A:Q,12,0),"")="NULL","",IF(A176&lt;&gt;"",VLOOKUP(A176,Employees!A:Q,12,0),""))),"")</f>
        <v/>
      </c>
      <c r="J176" t="str">
        <f>IF(IF(A176&lt;&gt;"",VLOOKUP(A176,Employees!A:Q,14,0),"")="NULL","",IF(A176&lt;&gt;"",VLOOKUP(A176,Employees!A:Q,14,0),""))</f>
        <v/>
      </c>
    </row>
    <row r="177" spans="2:10" x14ac:dyDescent="0.25">
      <c r="B177" t="str">
        <f>IF(A177&lt;&gt;"",VLOOKUP(A177,Employees!A:Q,2,0),"")</f>
        <v/>
      </c>
      <c r="C177" t="str">
        <f>IF(A177&lt;&gt;"",VLOOKUP(A177,Employees!A:Q,3,0),"")</f>
        <v/>
      </c>
      <c r="D177" s="17" t="str">
        <f>IF(IF(A177&lt;&gt;"",VLOOKUP(A177,Employees!A:Q,4,0),"")="NULL","",IF(A177&lt;&gt;"",VLOOKUP(A177,Employees!A:Q,4,0),""))</f>
        <v/>
      </c>
      <c r="E177" s="17" t="str">
        <f>IF(IF(A177&lt;&gt;"",VLOOKUP(A177,Employees!A:Q,5,0),"")="NULL","",IF(A177&lt;&gt;"",VLOOKUP(A177,Employees!A:Q,5,0),""))</f>
        <v/>
      </c>
      <c r="F177" t="str">
        <f>IF(IF(A177&lt;&gt;"",VLOOKUP(A177,Employees!A:Q,9,0),"")="NULL","",IF(A177&lt;&gt;"",VLOOKUP(A177,Employees!A:Q,9,0),""))</f>
        <v/>
      </c>
      <c r="G177" t="str">
        <f>IF(IF(A177&lt;&gt;"",VLOOKUP(A177,Employees!A:Q,10,0),"")="NULL","",IF(A177&lt;&gt;"",VLOOKUP(A177,Employees!A:Q,10,0),""))</f>
        <v/>
      </c>
      <c r="H177" t="str">
        <f>IF(IF(A177&lt;&gt;"",VLOOKUP(A177,Employees!A:Q,11,0),"")="NULL","",IF(A177&lt;&gt;"",VLOOKUP(A177,Employees!A:Q,11,0),""))</f>
        <v/>
      </c>
      <c r="I177" s="25" t="str">
        <f>IFERROR(VALUE(IF(IF(A177&lt;&gt;"",VLOOKUP(A177,Employees!A:Q,12,0),"")="NULL","",IF(A177&lt;&gt;"",VLOOKUP(A177,Employees!A:Q,12,0),""))),"")</f>
        <v/>
      </c>
      <c r="J177" t="str">
        <f>IF(IF(A177&lt;&gt;"",VLOOKUP(A177,Employees!A:Q,14,0),"")="NULL","",IF(A177&lt;&gt;"",VLOOKUP(A177,Employees!A:Q,14,0),""))</f>
        <v/>
      </c>
    </row>
    <row r="178" spans="2:10" x14ac:dyDescent="0.25">
      <c r="B178" t="str">
        <f>IF(A178&lt;&gt;"",VLOOKUP(A178,Employees!A:Q,2,0),"")</f>
        <v/>
      </c>
      <c r="C178" t="str">
        <f>IF(A178&lt;&gt;"",VLOOKUP(A178,Employees!A:Q,3,0),"")</f>
        <v/>
      </c>
      <c r="D178" s="17" t="str">
        <f>IF(IF(A178&lt;&gt;"",VLOOKUP(A178,Employees!A:Q,4,0),"")="NULL","",IF(A178&lt;&gt;"",VLOOKUP(A178,Employees!A:Q,4,0),""))</f>
        <v/>
      </c>
      <c r="E178" s="17" t="str">
        <f>IF(IF(A178&lt;&gt;"",VLOOKUP(A178,Employees!A:Q,5,0),"")="NULL","",IF(A178&lt;&gt;"",VLOOKUP(A178,Employees!A:Q,5,0),""))</f>
        <v/>
      </c>
      <c r="F178" t="str">
        <f>IF(IF(A178&lt;&gt;"",VLOOKUP(A178,Employees!A:Q,9,0),"")="NULL","",IF(A178&lt;&gt;"",VLOOKUP(A178,Employees!A:Q,9,0),""))</f>
        <v/>
      </c>
      <c r="G178" t="str">
        <f>IF(IF(A178&lt;&gt;"",VLOOKUP(A178,Employees!A:Q,10,0),"")="NULL","",IF(A178&lt;&gt;"",VLOOKUP(A178,Employees!A:Q,10,0),""))</f>
        <v/>
      </c>
      <c r="H178" t="str">
        <f>IF(IF(A178&lt;&gt;"",VLOOKUP(A178,Employees!A:Q,11,0),"")="NULL","",IF(A178&lt;&gt;"",VLOOKUP(A178,Employees!A:Q,11,0),""))</f>
        <v/>
      </c>
      <c r="I178" s="25" t="str">
        <f>IFERROR(VALUE(IF(IF(A178&lt;&gt;"",VLOOKUP(A178,Employees!A:Q,12,0),"")="NULL","",IF(A178&lt;&gt;"",VLOOKUP(A178,Employees!A:Q,12,0),""))),"")</f>
        <v/>
      </c>
      <c r="J178" t="str">
        <f>IF(IF(A178&lt;&gt;"",VLOOKUP(A178,Employees!A:Q,14,0),"")="NULL","",IF(A178&lt;&gt;"",VLOOKUP(A178,Employees!A:Q,14,0),""))</f>
        <v/>
      </c>
    </row>
    <row r="179" spans="2:10" x14ac:dyDescent="0.25">
      <c r="B179" t="str">
        <f>IF(A179&lt;&gt;"",VLOOKUP(A179,Employees!A:Q,2,0),"")</f>
        <v/>
      </c>
      <c r="C179" t="str">
        <f>IF(A179&lt;&gt;"",VLOOKUP(A179,Employees!A:Q,3,0),"")</f>
        <v/>
      </c>
      <c r="D179" s="17" t="str">
        <f>IF(IF(A179&lt;&gt;"",VLOOKUP(A179,Employees!A:Q,4,0),"")="NULL","",IF(A179&lt;&gt;"",VLOOKUP(A179,Employees!A:Q,4,0),""))</f>
        <v/>
      </c>
      <c r="E179" s="17" t="str">
        <f>IF(IF(A179&lt;&gt;"",VLOOKUP(A179,Employees!A:Q,5,0),"")="NULL","",IF(A179&lt;&gt;"",VLOOKUP(A179,Employees!A:Q,5,0),""))</f>
        <v/>
      </c>
      <c r="F179" t="str">
        <f>IF(IF(A179&lt;&gt;"",VLOOKUP(A179,Employees!A:Q,9,0),"")="NULL","",IF(A179&lt;&gt;"",VLOOKUP(A179,Employees!A:Q,9,0),""))</f>
        <v/>
      </c>
      <c r="G179" t="str">
        <f>IF(IF(A179&lt;&gt;"",VLOOKUP(A179,Employees!A:Q,10,0),"")="NULL","",IF(A179&lt;&gt;"",VLOOKUP(A179,Employees!A:Q,10,0),""))</f>
        <v/>
      </c>
      <c r="H179" t="str">
        <f>IF(IF(A179&lt;&gt;"",VLOOKUP(A179,Employees!A:Q,11,0),"")="NULL","",IF(A179&lt;&gt;"",VLOOKUP(A179,Employees!A:Q,11,0),""))</f>
        <v/>
      </c>
      <c r="I179" s="25" t="str">
        <f>IFERROR(VALUE(IF(IF(A179&lt;&gt;"",VLOOKUP(A179,Employees!A:Q,12,0),"")="NULL","",IF(A179&lt;&gt;"",VLOOKUP(A179,Employees!A:Q,12,0),""))),"")</f>
        <v/>
      </c>
      <c r="J179" t="str">
        <f>IF(IF(A179&lt;&gt;"",VLOOKUP(A179,Employees!A:Q,14,0),"")="NULL","",IF(A179&lt;&gt;"",VLOOKUP(A179,Employees!A:Q,14,0),""))</f>
        <v/>
      </c>
    </row>
    <row r="180" spans="2:10" x14ac:dyDescent="0.25">
      <c r="B180" t="str">
        <f>IF(A180&lt;&gt;"",VLOOKUP(A180,Employees!A:Q,2,0),"")</f>
        <v/>
      </c>
      <c r="C180" t="str">
        <f>IF(A180&lt;&gt;"",VLOOKUP(A180,Employees!A:Q,3,0),"")</f>
        <v/>
      </c>
      <c r="D180" s="17" t="str">
        <f>IF(IF(A180&lt;&gt;"",VLOOKUP(A180,Employees!A:Q,4,0),"")="NULL","",IF(A180&lt;&gt;"",VLOOKUP(A180,Employees!A:Q,4,0),""))</f>
        <v/>
      </c>
      <c r="E180" s="17" t="str">
        <f>IF(IF(A180&lt;&gt;"",VLOOKUP(A180,Employees!A:Q,5,0),"")="NULL","",IF(A180&lt;&gt;"",VLOOKUP(A180,Employees!A:Q,5,0),""))</f>
        <v/>
      </c>
      <c r="F180" t="str">
        <f>IF(IF(A180&lt;&gt;"",VLOOKUP(A180,Employees!A:Q,9,0),"")="NULL","",IF(A180&lt;&gt;"",VLOOKUP(A180,Employees!A:Q,9,0),""))</f>
        <v/>
      </c>
      <c r="G180" t="str">
        <f>IF(IF(A180&lt;&gt;"",VLOOKUP(A180,Employees!A:Q,10,0),"")="NULL","",IF(A180&lt;&gt;"",VLOOKUP(A180,Employees!A:Q,10,0),""))</f>
        <v/>
      </c>
      <c r="H180" t="str">
        <f>IF(IF(A180&lt;&gt;"",VLOOKUP(A180,Employees!A:Q,11,0),"")="NULL","",IF(A180&lt;&gt;"",VLOOKUP(A180,Employees!A:Q,11,0),""))</f>
        <v/>
      </c>
      <c r="I180" s="25" t="str">
        <f>IFERROR(VALUE(IF(IF(A180&lt;&gt;"",VLOOKUP(A180,Employees!A:Q,12,0),"")="NULL","",IF(A180&lt;&gt;"",VLOOKUP(A180,Employees!A:Q,12,0),""))),"")</f>
        <v/>
      </c>
      <c r="J180" t="str">
        <f>IF(IF(A180&lt;&gt;"",VLOOKUP(A180,Employees!A:Q,14,0),"")="NULL","",IF(A180&lt;&gt;"",VLOOKUP(A180,Employees!A:Q,14,0),""))</f>
        <v/>
      </c>
    </row>
    <row r="181" spans="2:10" x14ac:dyDescent="0.25">
      <c r="B181" t="str">
        <f>IF(A181&lt;&gt;"",VLOOKUP(A181,Employees!A:Q,2,0),"")</f>
        <v/>
      </c>
      <c r="C181" t="str">
        <f>IF(A181&lt;&gt;"",VLOOKUP(A181,Employees!A:Q,3,0),"")</f>
        <v/>
      </c>
      <c r="D181" s="17" t="str">
        <f>IF(IF(A181&lt;&gt;"",VLOOKUP(A181,Employees!A:Q,4,0),"")="NULL","",IF(A181&lt;&gt;"",VLOOKUP(A181,Employees!A:Q,4,0),""))</f>
        <v/>
      </c>
      <c r="E181" s="17" t="str">
        <f>IF(IF(A181&lt;&gt;"",VLOOKUP(A181,Employees!A:Q,5,0),"")="NULL","",IF(A181&lt;&gt;"",VLOOKUP(A181,Employees!A:Q,5,0),""))</f>
        <v/>
      </c>
      <c r="F181" t="str">
        <f>IF(IF(A181&lt;&gt;"",VLOOKUP(A181,Employees!A:Q,9,0),"")="NULL","",IF(A181&lt;&gt;"",VLOOKUP(A181,Employees!A:Q,9,0),""))</f>
        <v/>
      </c>
      <c r="G181" t="str">
        <f>IF(IF(A181&lt;&gt;"",VLOOKUP(A181,Employees!A:Q,10,0),"")="NULL","",IF(A181&lt;&gt;"",VLOOKUP(A181,Employees!A:Q,10,0),""))</f>
        <v/>
      </c>
      <c r="H181" t="str">
        <f>IF(IF(A181&lt;&gt;"",VLOOKUP(A181,Employees!A:Q,11,0),"")="NULL","",IF(A181&lt;&gt;"",VLOOKUP(A181,Employees!A:Q,11,0),""))</f>
        <v/>
      </c>
      <c r="I181" s="25" t="str">
        <f>IFERROR(VALUE(IF(IF(A181&lt;&gt;"",VLOOKUP(A181,Employees!A:Q,12,0),"")="NULL","",IF(A181&lt;&gt;"",VLOOKUP(A181,Employees!A:Q,12,0),""))),"")</f>
        <v/>
      </c>
      <c r="J181" t="str">
        <f>IF(IF(A181&lt;&gt;"",VLOOKUP(A181,Employees!A:Q,14,0),"")="NULL","",IF(A181&lt;&gt;"",VLOOKUP(A181,Employees!A:Q,14,0),""))</f>
        <v/>
      </c>
    </row>
    <row r="182" spans="2:10" x14ac:dyDescent="0.25">
      <c r="B182" t="str">
        <f>IF(A182&lt;&gt;"",VLOOKUP(A182,Employees!A:Q,2,0),"")</f>
        <v/>
      </c>
      <c r="C182" t="str">
        <f>IF(A182&lt;&gt;"",VLOOKUP(A182,Employees!A:Q,3,0),"")</f>
        <v/>
      </c>
      <c r="D182" s="17" t="str">
        <f>IF(IF(A182&lt;&gt;"",VLOOKUP(A182,Employees!A:Q,4,0),"")="NULL","",IF(A182&lt;&gt;"",VLOOKUP(A182,Employees!A:Q,4,0),""))</f>
        <v/>
      </c>
      <c r="E182" s="17" t="str">
        <f>IF(IF(A182&lt;&gt;"",VLOOKUP(A182,Employees!A:Q,5,0),"")="NULL","",IF(A182&lt;&gt;"",VLOOKUP(A182,Employees!A:Q,5,0),""))</f>
        <v/>
      </c>
      <c r="F182" t="str">
        <f>IF(IF(A182&lt;&gt;"",VLOOKUP(A182,Employees!A:Q,9,0),"")="NULL","",IF(A182&lt;&gt;"",VLOOKUP(A182,Employees!A:Q,9,0),""))</f>
        <v/>
      </c>
      <c r="G182" t="str">
        <f>IF(IF(A182&lt;&gt;"",VLOOKUP(A182,Employees!A:Q,10,0),"")="NULL","",IF(A182&lt;&gt;"",VLOOKUP(A182,Employees!A:Q,10,0),""))</f>
        <v/>
      </c>
      <c r="H182" t="str">
        <f>IF(IF(A182&lt;&gt;"",VLOOKUP(A182,Employees!A:Q,11,0),"")="NULL","",IF(A182&lt;&gt;"",VLOOKUP(A182,Employees!A:Q,11,0),""))</f>
        <v/>
      </c>
      <c r="I182" s="25" t="str">
        <f>IFERROR(VALUE(IF(IF(A182&lt;&gt;"",VLOOKUP(A182,Employees!A:Q,12,0),"")="NULL","",IF(A182&lt;&gt;"",VLOOKUP(A182,Employees!A:Q,12,0),""))),"")</f>
        <v/>
      </c>
      <c r="J182" t="str">
        <f>IF(IF(A182&lt;&gt;"",VLOOKUP(A182,Employees!A:Q,14,0),"")="NULL","",IF(A182&lt;&gt;"",VLOOKUP(A182,Employees!A:Q,14,0),""))</f>
        <v/>
      </c>
    </row>
    <row r="183" spans="2:10" x14ac:dyDescent="0.25">
      <c r="B183" t="str">
        <f>IF(A183&lt;&gt;"",VLOOKUP(A183,Employees!A:Q,2,0),"")</f>
        <v/>
      </c>
      <c r="C183" t="str">
        <f>IF(A183&lt;&gt;"",VLOOKUP(A183,Employees!A:Q,3,0),"")</f>
        <v/>
      </c>
      <c r="D183" s="17" t="str">
        <f>IF(IF(A183&lt;&gt;"",VLOOKUP(A183,Employees!A:Q,4,0),"")="NULL","",IF(A183&lt;&gt;"",VLOOKUP(A183,Employees!A:Q,4,0),""))</f>
        <v/>
      </c>
      <c r="E183" s="17" t="str">
        <f>IF(IF(A183&lt;&gt;"",VLOOKUP(A183,Employees!A:Q,5,0),"")="NULL","",IF(A183&lt;&gt;"",VLOOKUP(A183,Employees!A:Q,5,0),""))</f>
        <v/>
      </c>
      <c r="F183" t="str">
        <f>IF(IF(A183&lt;&gt;"",VLOOKUP(A183,Employees!A:Q,9,0),"")="NULL","",IF(A183&lt;&gt;"",VLOOKUP(A183,Employees!A:Q,9,0),""))</f>
        <v/>
      </c>
      <c r="G183" t="str">
        <f>IF(IF(A183&lt;&gt;"",VLOOKUP(A183,Employees!A:Q,10,0),"")="NULL","",IF(A183&lt;&gt;"",VLOOKUP(A183,Employees!A:Q,10,0),""))</f>
        <v/>
      </c>
      <c r="H183" t="str">
        <f>IF(IF(A183&lt;&gt;"",VLOOKUP(A183,Employees!A:Q,11,0),"")="NULL","",IF(A183&lt;&gt;"",VLOOKUP(A183,Employees!A:Q,11,0),""))</f>
        <v/>
      </c>
      <c r="I183" s="25" t="str">
        <f>IFERROR(VALUE(IF(IF(A183&lt;&gt;"",VLOOKUP(A183,Employees!A:Q,12,0),"")="NULL","",IF(A183&lt;&gt;"",VLOOKUP(A183,Employees!A:Q,12,0),""))),"")</f>
        <v/>
      </c>
      <c r="J183" t="str">
        <f>IF(IF(A183&lt;&gt;"",VLOOKUP(A183,Employees!A:Q,14,0),"")="NULL","",IF(A183&lt;&gt;"",VLOOKUP(A183,Employees!A:Q,14,0),""))</f>
        <v/>
      </c>
    </row>
    <row r="184" spans="2:10" x14ac:dyDescent="0.25">
      <c r="B184" t="str">
        <f>IF(A184&lt;&gt;"",VLOOKUP(A184,Employees!A:Q,2,0),"")</f>
        <v/>
      </c>
      <c r="C184" t="str">
        <f>IF(A184&lt;&gt;"",VLOOKUP(A184,Employees!A:Q,3,0),"")</f>
        <v/>
      </c>
      <c r="D184" s="17" t="str">
        <f>IF(IF(A184&lt;&gt;"",VLOOKUP(A184,Employees!A:Q,4,0),"")="NULL","",IF(A184&lt;&gt;"",VLOOKUP(A184,Employees!A:Q,4,0),""))</f>
        <v/>
      </c>
      <c r="E184" s="17" t="str">
        <f>IF(IF(A184&lt;&gt;"",VLOOKUP(A184,Employees!A:Q,5,0),"")="NULL","",IF(A184&lt;&gt;"",VLOOKUP(A184,Employees!A:Q,5,0),""))</f>
        <v/>
      </c>
      <c r="F184" t="str">
        <f>IF(IF(A184&lt;&gt;"",VLOOKUP(A184,Employees!A:Q,9,0),"")="NULL","",IF(A184&lt;&gt;"",VLOOKUP(A184,Employees!A:Q,9,0),""))</f>
        <v/>
      </c>
      <c r="G184" t="str">
        <f>IF(IF(A184&lt;&gt;"",VLOOKUP(A184,Employees!A:Q,10,0),"")="NULL","",IF(A184&lt;&gt;"",VLOOKUP(A184,Employees!A:Q,10,0),""))</f>
        <v/>
      </c>
      <c r="H184" t="str">
        <f>IF(IF(A184&lt;&gt;"",VLOOKUP(A184,Employees!A:Q,11,0),"")="NULL","",IF(A184&lt;&gt;"",VLOOKUP(A184,Employees!A:Q,11,0),""))</f>
        <v/>
      </c>
      <c r="I184" s="25" t="str">
        <f>IFERROR(VALUE(IF(IF(A184&lt;&gt;"",VLOOKUP(A184,Employees!A:Q,12,0),"")="NULL","",IF(A184&lt;&gt;"",VLOOKUP(A184,Employees!A:Q,12,0),""))),"")</f>
        <v/>
      </c>
      <c r="J184" t="str">
        <f>IF(IF(A184&lt;&gt;"",VLOOKUP(A184,Employees!A:Q,14,0),"")="NULL","",IF(A184&lt;&gt;"",VLOOKUP(A184,Employees!A:Q,14,0),""))</f>
        <v/>
      </c>
    </row>
    <row r="185" spans="2:10" x14ac:dyDescent="0.25">
      <c r="B185" t="str">
        <f>IF(A185&lt;&gt;"",VLOOKUP(A185,Employees!A:Q,2,0),"")</f>
        <v/>
      </c>
      <c r="C185" t="str">
        <f>IF(A185&lt;&gt;"",VLOOKUP(A185,Employees!A:Q,3,0),"")</f>
        <v/>
      </c>
      <c r="D185" s="17" t="str">
        <f>IF(IF(A185&lt;&gt;"",VLOOKUP(A185,Employees!A:Q,4,0),"")="NULL","",IF(A185&lt;&gt;"",VLOOKUP(A185,Employees!A:Q,4,0),""))</f>
        <v/>
      </c>
      <c r="E185" s="17" t="str">
        <f>IF(IF(A185&lt;&gt;"",VLOOKUP(A185,Employees!A:Q,5,0),"")="NULL","",IF(A185&lt;&gt;"",VLOOKUP(A185,Employees!A:Q,5,0),""))</f>
        <v/>
      </c>
      <c r="F185" t="str">
        <f>IF(IF(A185&lt;&gt;"",VLOOKUP(A185,Employees!A:Q,9,0),"")="NULL","",IF(A185&lt;&gt;"",VLOOKUP(A185,Employees!A:Q,9,0),""))</f>
        <v/>
      </c>
      <c r="G185" t="str">
        <f>IF(IF(A185&lt;&gt;"",VLOOKUP(A185,Employees!A:Q,10,0),"")="NULL","",IF(A185&lt;&gt;"",VLOOKUP(A185,Employees!A:Q,10,0),""))</f>
        <v/>
      </c>
      <c r="H185" t="str">
        <f>IF(IF(A185&lt;&gt;"",VLOOKUP(A185,Employees!A:Q,11,0),"")="NULL","",IF(A185&lt;&gt;"",VLOOKUP(A185,Employees!A:Q,11,0),""))</f>
        <v/>
      </c>
      <c r="I185" s="25" t="str">
        <f>IFERROR(VALUE(IF(IF(A185&lt;&gt;"",VLOOKUP(A185,Employees!A:Q,12,0),"")="NULL","",IF(A185&lt;&gt;"",VLOOKUP(A185,Employees!A:Q,12,0),""))),"")</f>
        <v/>
      </c>
      <c r="J185" t="str">
        <f>IF(IF(A185&lt;&gt;"",VLOOKUP(A185,Employees!A:Q,14,0),"")="NULL","",IF(A185&lt;&gt;"",VLOOKUP(A185,Employees!A:Q,14,0),""))</f>
        <v/>
      </c>
    </row>
    <row r="186" spans="2:10" x14ac:dyDescent="0.25">
      <c r="B186" t="str">
        <f>IF(A186&lt;&gt;"",VLOOKUP(A186,Employees!A:Q,2,0),"")</f>
        <v/>
      </c>
      <c r="C186" t="str">
        <f>IF(A186&lt;&gt;"",VLOOKUP(A186,Employees!A:Q,3,0),"")</f>
        <v/>
      </c>
      <c r="D186" s="17" t="str">
        <f>IF(IF(A186&lt;&gt;"",VLOOKUP(A186,Employees!A:Q,4,0),"")="NULL","",IF(A186&lt;&gt;"",VLOOKUP(A186,Employees!A:Q,4,0),""))</f>
        <v/>
      </c>
      <c r="E186" s="17" t="str">
        <f>IF(IF(A186&lt;&gt;"",VLOOKUP(A186,Employees!A:Q,5,0),"")="NULL","",IF(A186&lt;&gt;"",VLOOKUP(A186,Employees!A:Q,5,0),""))</f>
        <v/>
      </c>
      <c r="F186" t="str">
        <f>IF(IF(A186&lt;&gt;"",VLOOKUP(A186,Employees!A:Q,9,0),"")="NULL","",IF(A186&lt;&gt;"",VLOOKUP(A186,Employees!A:Q,9,0),""))</f>
        <v/>
      </c>
      <c r="G186" t="str">
        <f>IF(IF(A186&lt;&gt;"",VLOOKUP(A186,Employees!A:Q,10,0),"")="NULL","",IF(A186&lt;&gt;"",VLOOKUP(A186,Employees!A:Q,10,0),""))</f>
        <v/>
      </c>
      <c r="H186" t="str">
        <f>IF(IF(A186&lt;&gt;"",VLOOKUP(A186,Employees!A:Q,11,0),"")="NULL","",IF(A186&lt;&gt;"",VLOOKUP(A186,Employees!A:Q,11,0),""))</f>
        <v/>
      </c>
      <c r="I186" s="25" t="str">
        <f>IFERROR(VALUE(IF(IF(A186&lt;&gt;"",VLOOKUP(A186,Employees!A:Q,12,0),"")="NULL","",IF(A186&lt;&gt;"",VLOOKUP(A186,Employees!A:Q,12,0),""))),"")</f>
        <v/>
      </c>
      <c r="J186" t="str">
        <f>IF(IF(A186&lt;&gt;"",VLOOKUP(A186,Employees!A:Q,14,0),"")="NULL","",IF(A186&lt;&gt;"",VLOOKUP(A186,Employees!A:Q,14,0),""))</f>
        <v/>
      </c>
    </row>
    <row r="187" spans="2:10" x14ac:dyDescent="0.25">
      <c r="B187" t="str">
        <f>IF(A187&lt;&gt;"",VLOOKUP(A187,Employees!A:Q,2,0),"")</f>
        <v/>
      </c>
      <c r="C187" t="str">
        <f>IF(A187&lt;&gt;"",VLOOKUP(A187,Employees!A:Q,3,0),"")</f>
        <v/>
      </c>
      <c r="D187" s="17" t="str">
        <f>IF(IF(A187&lt;&gt;"",VLOOKUP(A187,Employees!A:Q,4,0),"")="NULL","",IF(A187&lt;&gt;"",VLOOKUP(A187,Employees!A:Q,4,0),""))</f>
        <v/>
      </c>
      <c r="E187" s="17" t="str">
        <f>IF(IF(A187&lt;&gt;"",VLOOKUP(A187,Employees!A:Q,5,0),"")="NULL","",IF(A187&lt;&gt;"",VLOOKUP(A187,Employees!A:Q,5,0),""))</f>
        <v/>
      </c>
      <c r="F187" t="str">
        <f>IF(IF(A187&lt;&gt;"",VLOOKUP(A187,Employees!A:Q,9,0),"")="NULL","",IF(A187&lt;&gt;"",VLOOKUP(A187,Employees!A:Q,9,0),""))</f>
        <v/>
      </c>
      <c r="G187" t="str">
        <f>IF(IF(A187&lt;&gt;"",VLOOKUP(A187,Employees!A:Q,10,0),"")="NULL","",IF(A187&lt;&gt;"",VLOOKUP(A187,Employees!A:Q,10,0),""))</f>
        <v/>
      </c>
      <c r="H187" t="str">
        <f>IF(IF(A187&lt;&gt;"",VLOOKUP(A187,Employees!A:Q,11,0),"")="NULL","",IF(A187&lt;&gt;"",VLOOKUP(A187,Employees!A:Q,11,0),""))</f>
        <v/>
      </c>
      <c r="I187" s="25" t="str">
        <f>IFERROR(VALUE(IF(IF(A187&lt;&gt;"",VLOOKUP(A187,Employees!A:Q,12,0),"")="NULL","",IF(A187&lt;&gt;"",VLOOKUP(A187,Employees!A:Q,12,0),""))),"")</f>
        <v/>
      </c>
      <c r="J187" t="str">
        <f>IF(IF(A187&lt;&gt;"",VLOOKUP(A187,Employees!A:Q,14,0),"")="NULL","",IF(A187&lt;&gt;"",VLOOKUP(A187,Employees!A:Q,14,0),""))</f>
        <v/>
      </c>
    </row>
    <row r="188" spans="2:10" x14ac:dyDescent="0.25">
      <c r="B188" t="str">
        <f>IF(A188&lt;&gt;"",VLOOKUP(A188,Employees!A:Q,2,0),"")</f>
        <v/>
      </c>
      <c r="C188" t="str">
        <f>IF(A188&lt;&gt;"",VLOOKUP(A188,Employees!A:Q,3,0),"")</f>
        <v/>
      </c>
      <c r="D188" s="17" t="str">
        <f>IF(IF(A188&lt;&gt;"",VLOOKUP(A188,Employees!A:Q,4,0),"")="NULL","",IF(A188&lt;&gt;"",VLOOKUP(A188,Employees!A:Q,4,0),""))</f>
        <v/>
      </c>
      <c r="E188" s="17" t="str">
        <f>IF(IF(A188&lt;&gt;"",VLOOKUP(A188,Employees!A:Q,5,0),"")="NULL","",IF(A188&lt;&gt;"",VLOOKUP(A188,Employees!A:Q,5,0),""))</f>
        <v/>
      </c>
      <c r="F188" t="str">
        <f>IF(IF(A188&lt;&gt;"",VLOOKUP(A188,Employees!A:Q,9,0),"")="NULL","",IF(A188&lt;&gt;"",VLOOKUP(A188,Employees!A:Q,9,0),""))</f>
        <v/>
      </c>
      <c r="G188" t="str">
        <f>IF(IF(A188&lt;&gt;"",VLOOKUP(A188,Employees!A:Q,10,0),"")="NULL","",IF(A188&lt;&gt;"",VLOOKUP(A188,Employees!A:Q,10,0),""))</f>
        <v/>
      </c>
      <c r="H188" t="str">
        <f>IF(IF(A188&lt;&gt;"",VLOOKUP(A188,Employees!A:Q,11,0),"")="NULL","",IF(A188&lt;&gt;"",VLOOKUP(A188,Employees!A:Q,11,0),""))</f>
        <v/>
      </c>
      <c r="I188" s="25" t="str">
        <f>IFERROR(VALUE(IF(IF(A188&lt;&gt;"",VLOOKUP(A188,Employees!A:Q,12,0),"")="NULL","",IF(A188&lt;&gt;"",VLOOKUP(A188,Employees!A:Q,12,0),""))),"")</f>
        <v/>
      </c>
      <c r="J188" t="str">
        <f>IF(IF(A188&lt;&gt;"",VLOOKUP(A188,Employees!A:Q,14,0),"")="NULL","",IF(A188&lt;&gt;"",VLOOKUP(A188,Employees!A:Q,14,0),""))</f>
        <v/>
      </c>
    </row>
    <row r="189" spans="2:10" x14ac:dyDescent="0.25">
      <c r="B189" t="str">
        <f>IF(A189&lt;&gt;"",VLOOKUP(A189,Employees!A:Q,2,0),"")</f>
        <v/>
      </c>
      <c r="C189" t="str">
        <f>IF(A189&lt;&gt;"",VLOOKUP(A189,Employees!A:Q,3,0),"")</f>
        <v/>
      </c>
      <c r="D189" s="17" t="str">
        <f>IF(IF(A189&lt;&gt;"",VLOOKUP(A189,Employees!A:Q,4,0),"")="NULL","",IF(A189&lt;&gt;"",VLOOKUP(A189,Employees!A:Q,4,0),""))</f>
        <v/>
      </c>
      <c r="E189" s="17" t="str">
        <f>IF(IF(A189&lt;&gt;"",VLOOKUP(A189,Employees!A:Q,5,0),"")="NULL","",IF(A189&lt;&gt;"",VLOOKUP(A189,Employees!A:Q,5,0),""))</f>
        <v/>
      </c>
      <c r="F189" t="str">
        <f>IF(IF(A189&lt;&gt;"",VLOOKUP(A189,Employees!A:Q,9,0),"")="NULL","",IF(A189&lt;&gt;"",VLOOKUP(A189,Employees!A:Q,9,0),""))</f>
        <v/>
      </c>
      <c r="G189" t="str">
        <f>IF(IF(A189&lt;&gt;"",VLOOKUP(A189,Employees!A:Q,10,0),"")="NULL","",IF(A189&lt;&gt;"",VLOOKUP(A189,Employees!A:Q,10,0),""))</f>
        <v/>
      </c>
      <c r="H189" t="str">
        <f>IF(IF(A189&lt;&gt;"",VLOOKUP(A189,Employees!A:Q,11,0),"")="NULL","",IF(A189&lt;&gt;"",VLOOKUP(A189,Employees!A:Q,11,0),""))</f>
        <v/>
      </c>
      <c r="I189" s="25" t="str">
        <f>IFERROR(VALUE(IF(IF(A189&lt;&gt;"",VLOOKUP(A189,Employees!A:Q,12,0),"")="NULL","",IF(A189&lt;&gt;"",VLOOKUP(A189,Employees!A:Q,12,0),""))),"")</f>
        <v/>
      </c>
      <c r="J189" t="str">
        <f>IF(IF(A189&lt;&gt;"",VLOOKUP(A189,Employees!A:Q,14,0),"")="NULL","",IF(A189&lt;&gt;"",VLOOKUP(A189,Employees!A:Q,14,0),""))</f>
        <v/>
      </c>
    </row>
    <row r="190" spans="2:10" x14ac:dyDescent="0.25">
      <c r="B190" t="str">
        <f>IF(A190&lt;&gt;"",VLOOKUP(A190,Employees!A:Q,2,0),"")</f>
        <v/>
      </c>
      <c r="C190" t="str">
        <f>IF(A190&lt;&gt;"",VLOOKUP(A190,Employees!A:Q,3,0),"")</f>
        <v/>
      </c>
      <c r="D190" s="17" t="str">
        <f>IF(IF(A190&lt;&gt;"",VLOOKUP(A190,Employees!A:Q,4,0),"")="NULL","",IF(A190&lt;&gt;"",VLOOKUP(A190,Employees!A:Q,4,0),""))</f>
        <v/>
      </c>
      <c r="E190" s="17" t="str">
        <f>IF(IF(A190&lt;&gt;"",VLOOKUP(A190,Employees!A:Q,5,0),"")="NULL","",IF(A190&lt;&gt;"",VLOOKUP(A190,Employees!A:Q,5,0),""))</f>
        <v/>
      </c>
      <c r="F190" t="str">
        <f>IF(IF(A190&lt;&gt;"",VLOOKUP(A190,Employees!A:Q,9,0),"")="NULL","",IF(A190&lt;&gt;"",VLOOKUP(A190,Employees!A:Q,9,0),""))</f>
        <v/>
      </c>
      <c r="G190" t="str">
        <f>IF(IF(A190&lt;&gt;"",VLOOKUP(A190,Employees!A:Q,10,0),"")="NULL","",IF(A190&lt;&gt;"",VLOOKUP(A190,Employees!A:Q,10,0),""))</f>
        <v/>
      </c>
      <c r="H190" t="str">
        <f>IF(IF(A190&lt;&gt;"",VLOOKUP(A190,Employees!A:Q,11,0),"")="NULL","",IF(A190&lt;&gt;"",VLOOKUP(A190,Employees!A:Q,11,0),""))</f>
        <v/>
      </c>
      <c r="I190" s="25" t="str">
        <f>IFERROR(VALUE(IF(IF(A190&lt;&gt;"",VLOOKUP(A190,Employees!A:Q,12,0),"")="NULL","",IF(A190&lt;&gt;"",VLOOKUP(A190,Employees!A:Q,12,0),""))),"")</f>
        <v/>
      </c>
      <c r="J190" t="str">
        <f>IF(IF(A190&lt;&gt;"",VLOOKUP(A190,Employees!A:Q,14,0),"")="NULL","",IF(A190&lt;&gt;"",VLOOKUP(A190,Employees!A:Q,14,0),""))</f>
        <v/>
      </c>
    </row>
    <row r="191" spans="2:10" x14ac:dyDescent="0.25">
      <c r="B191" t="str">
        <f>IF(A191&lt;&gt;"",VLOOKUP(A191,Employees!A:Q,2,0),"")</f>
        <v/>
      </c>
      <c r="C191" t="str">
        <f>IF(A191&lt;&gt;"",VLOOKUP(A191,Employees!A:Q,3,0),"")</f>
        <v/>
      </c>
      <c r="D191" s="17" t="str">
        <f>IF(IF(A191&lt;&gt;"",VLOOKUP(A191,Employees!A:Q,4,0),"")="NULL","",IF(A191&lt;&gt;"",VLOOKUP(A191,Employees!A:Q,4,0),""))</f>
        <v/>
      </c>
      <c r="E191" s="17" t="str">
        <f>IF(IF(A191&lt;&gt;"",VLOOKUP(A191,Employees!A:Q,5,0),"")="NULL","",IF(A191&lt;&gt;"",VLOOKUP(A191,Employees!A:Q,5,0),""))</f>
        <v/>
      </c>
      <c r="F191" t="str">
        <f>IF(IF(A191&lt;&gt;"",VLOOKUP(A191,Employees!A:Q,9,0),"")="NULL","",IF(A191&lt;&gt;"",VLOOKUP(A191,Employees!A:Q,9,0),""))</f>
        <v/>
      </c>
      <c r="G191" t="str">
        <f>IF(IF(A191&lt;&gt;"",VLOOKUP(A191,Employees!A:Q,10,0),"")="NULL","",IF(A191&lt;&gt;"",VLOOKUP(A191,Employees!A:Q,10,0),""))</f>
        <v/>
      </c>
      <c r="H191" t="str">
        <f>IF(IF(A191&lt;&gt;"",VLOOKUP(A191,Employees!A:Q,11,0),"")="NULL","",IF(A191&lt;&gt;"",VLOOKUP(A191,Employees!A:Q,11,0),""))</f>
        <v/>
      </c>
      <c r="I191" s="25" t="str">
        <f>IFERROR(VALUE(IF(IF(A191&lt;&gt;"",VLOOKUP(A191,Employees!A:Q,12,0),"")="NULL","",IF(A191&lt;&gt;"",VLOOKUP(A191,Employees!A:Q,12,0),""))),"")</f>
        <v/>
      </c>
      <c r="J191" t="str">
        <f>IF(IF(A191&lt;&gt;"",VLOOKUP(A191,Employees!A:Q,14,0),"")="NULL","",IF(A191&lt;&gt;"",VLOOKUP(A191,Employees!A:Q,14,0),""))</f>
        <v/>
      </c>
    </row>
    <row r="192" spans="2:10" x14ac:dyDescent="0.25">
      <c r="B192" t="str">
        <f>IF(A192&lt;&gt;"",VLOOKUP(A192,Employees!A:Q,2,0),"")</f>
        <v/>
      </c>
      <c r="C192" t="str">
        <f>IF(A192&lt;&gt;"",VLOOKUP(A192,Employees!A:Q,3,0),"")</f>
        <v/>
      </c>
      <c r="D192" s="17" t="str">
        <f>IF(IF(A192&lt;&gt;"",VLOOKUP(A192,Employees!A:Q,4,0),"")="NULL","",IF(A192&lt;&gt;"",VLOOKUP(A192,Employees!A:Q,4,0),""))</f>
        <v/>
      </c>
      <c r="E192" s="17" t="str">
        <f>IF(IF(A192&lt;&gt;"",VLOOKUP(A192,Employees!A:Q,5,0),"")="NULL","",IF(A192&lt;&gt;"",VLOOKUP(A192,Employees!A:Q,5,0),""))</f>
        <v/>
      </c>
      <c r="F192" t="str">
        <f>IF(IF(A192&lt;&gt;"",VLOOKUP(A192,Employees!A:Q,9,0),"")="NULL","",IF(A192&lt;&gt;"",VLOOKUP(A192,Employees!A:Q,9,0),""))</f>
        <v/>
      </c>
      <c r="G192" t="str">
        <f>IF(IF(A192&lt;&gt;"",VLOOKUP(A192,Employees!A:Q,10,0),"")="NULL","",IF(A192&lt;&gt;"",VLOOKUP(A192,Employees!A:Q,10,0),""))</f>
        <v/>
      </c>
      <c r="H192" t="str">
        <f>IF(IF(A192&lt;&gt;"",VLOOKUP(A192,Employees!A:Q,11,0),"")="NULL","",IF(A192&lt;&gt;"",VLOOKUP(A192,Employees!A:Q,11,0),""))</f>
        <v/>
      </c>
      <c r="I192" s="25" t="str">
        <f>IFERROR(VALUE(IF(IF(A192&lt;&gt;"",VLOOKUP(A192,Employees!A:Q,12,0),"")="NULL","",IF(A192&lt;&gt;"",VLOOKUP(A192,Employees!A:Q,12,0),""))),"")</f>
        <v/>
      </c>
      <c r="J192" t="str">
        <f>IF(IF(A192&lt;&gt;"",VLOOKUP(A192,Employees!A:Q,14,0),"")="NULL","",IF(A192&lt;&gt;"",VLOOKUP(A192,Employees!A:Q,14,0),""))</f>
        <v/>
      </c>
    </row>
    <row r="193" spans="2:10" x14ac:dyDescent="0.25">
      <c r="B193" t="str">
        <f>IF(A193&lt;&gt;"",VLOOKUP(A193,Employees!A:Q,2,0),"")</f>
        <v/>
      </c>
      <c r="C193" t="str">
        <f>IF(A193&lt;&gt;"",VLOOKUP(A193,Employees!A:Q,3,0),"")</f>
        <v/>
      </c>
      <c r="D193" s="17" t="str">
        <f>IF(IF(A193&lt;&gt;"",VLOOKUP(A193,Employees!A:Q,4,0),"")="NULL","",IF(A193&lt;&gt;"",VLOOKUP(A193,Employees!A:Q,4,0),""))</f>
        <v/>
      </c>
      <c r="E193" s="17" t="str">
        <f>IF(IF(A193&lt;&gt;"",VLOOKUP(A193,Employees!A:Q,5,0),"")="NULL","",IF(A193&lt;&gt;"",VLOOKUP(A193,Employees!A:Q,5,0),""))</f>
        <v/>
      </c>
      <c r="F193" t="str">
        <f>IF(IF(A193&lt;&gt;"",VLOOKUP(A193,Employees!A:Q,9,0),"")="NULL","",IF(A193&lt;&gt;"",VLOOKUP(A193,Employees!A:Q,9,0),""))</f>
        <v/>
      </c>
      <c r="G193" t="str">
        <f>IF(IF(A193&lt;&gt;"",VLOOKUP(A193,Employees!A:Q,10,0),"")="NULL","",IF(A193&lt;&gt;"",VLOOKUP(A193,Employees!A:Q,10,0),""))</f>
        <v/>
      </c>
      <c r="H193" t="str">
        <f>IF(IF(A193&lt;&gt;"",VLOOKUP(A193,Employees!A:Q,11,0),"")="NULL","",IF(A193&lt;&gt;"",VLOOKUP(A193,Employees!A:Q,11,0),""))</f>
        <v/>
      </c>
      <c r="I193" s="25" t="str">
        <f>IFERROR(VALUE(IF(IF(A193&lt;&gt;"",VLOOKUP(A193,Employees!A:Q,12,0),"")="NULL","",IF(A193&lt;&gt;"",VLOOKUP(A193,Employees!A:Q,12,0),""))),"")</f>
        <v/>
      </c>
      <c r="J193" t="str">
        <f>IF(IF(A193&lt;&gt;"",VLOOKUP(A193,Employees!A:Q,14,0),"")="NULL","",IF(A193&lt;&gt;"",VLOOKUP(A193,Employees!A:Q,14,0),""))</f>
        <v/>
      </c>
    </row>
    <row r="194" spans="2:10" x14ac:dyDescent="0.25">
      <c r="B194" t="str">
        <f>IF(A194&lt;&gt;"",VLOOKUP(A194,Employees!A:Q,2,0),"")</f>
        <v/>
      </c>
      <c r="C194" t="str">
        <f>IF(A194&lt;&gt;"",VLOOKUP(A194,Employees!A:Q,3,0),"")</f>
        <v/>
      </c>
      <c r="D194" s="17" t="str">
        <f>IF(IF(A194&lt;&gt;"",VLOOKUP(A194,Employees!A:Q,4,0),"")="NULL","",IF(A194&lt;&gt;"",VLOOKUP(A194,Employees!A:Q,4,0),""))</f>
        <v/>
      </c>
      <c r="E194" s="17" t="str">
        <f>IF(IF(A194&lt;&gt;"",VLOOKUP(A194,Employees!A:Q,5,0),"")="NULL","",IF(A194&lt;&gt;"",VLOOKUP(A194,Employees!A:Q,5,0),""))</f>
        <v/>
      </c>
      <c r="F194" t="str">
        <f>IF(IF(A194&lt;&gt;"",VLOOKUP(A194,Employees!A:Q,9,0),"")="NULL","",IF(A194&lt;&gt;"",VLOOKUP(A194,Employees!A:Q,9,0),""))</f>
        <v/>
      </c>
      <c r="G194" t="str">
        <f>IF(IF(A194&lt;&gt;"",VLOOKUP(A194,Employees!A:Q,10,0),"")="NULL","",IF(A194&lt;&gt;"",VLOOKUP(A194,Employees!A:Q,10,0),""))</f>
        <v/>
      </c>
      <c r="H194" t="str">
        <f>IF(IF(A194&lt;&gt;"",VLOOKUP(A194,Employees!A:Q,11,0),"")="NULL","",IF(A194&lt;&gt;"",VLOOKUP(A194,Employees!A:Q,11,0),""))</f>
        <v/>
      </c>
      <c r="I194" s="25" t="str">
        <f>IFERROR(VALUE(IF(IF(A194&lt;&gt;"",VLOOKUP(A194,Employees!A:Q,12,0),"")="NULL","",IF(A194&lt;&gt;"",VLOOKUP(A194,Employees!A:Q,12,0),""))),"")</f>
        <v/>
      </c>
      <c r="J194" t="str">
        <f>IF(IF(A194&lt;&gt;"",VLOOKUP(A194,Employees!A:Q,14,0),"")="NULL","",IF(A194&lt;&gt;"",VLOOKUP(A194,Employees!A:Q,14,0),""))</f>
        <v/>
      </c>
    </row>
    <row r="195" spans="2:10" x14ac:dyDescent="0.25">
      <c r="B195" t="str">
        <f>IF(A195&lt;&gt;"",VLOOKUP(A195,Employees!A:Q,2,0),"")</f>
        <v/>
      </c>
      <c r="C195" t="str">
        <f>IF(A195&lt;&gt;"",VLOOKUP(A195,Employees!A:Q,3,0),"")</f>
        <v/>
      </c>
      <c r="D195" s="17" t="str">
        <f>IF(IF(A195&lt;&gt;"",VLOOKUP(A195,Employees!A:Q,4,0),"")="NULL","",IF(A195&lt;&gt;"",VLOOKUP(A195,Employees!A:Q,4,0),""))</f>
        <v/>
      </c>
      <c r="E195" s="17" t="str">
        <f>IF(IF(A195&lt;&gt;"",VLOOKUP(A195,Employees!A:Q,5,0),"")="NULL","",IF(A195&lt;&gt;"",VLOOKUP(A195,Employees!A:Q,5,0),""))</f>
        <v/>
      </c>
      <c r="F195" t="str">
        <f>IF(IF(A195&lt;&gt;"",VLOOKUP(A195,Employees!A:Q,9,0),"")="NULL","",IF(A195&lt;&gt;"",VLOOKUP(A195,Employees!A:Q,9,0),""))</f>
        <v/>
      </c>
      <c r="G195" t="str">
        <f>IF(IF(A195&lt;&gt;"",VLOOKUP(A195,Employees!A:Q,10,0),"")="NULL","",IF(A195&lt;&gt;"",VLOOKUP(A195,Employees!A:Q,10,0),""))</f>
        <v/>
      </c>
      <c r="H195" t="str">
        <f>IF(IF(A195&lt;&gt;"",VLOOKUP(A195,Employees!A:Q,11,0),"")="NULL","",IF(A195&lt;&gt;"",VLOOKUP(A195,Employees!A:Q,11,0),""))</f>
        <v/>
      </c>
      <c r="I195" s="25" t="str">
        <f>IFERROR(VALUE(IF(IF(A195&lt;&gt;"",VLOOKUP(A195,Employees!A:Q,12,0),"")="NULL","",IF(A195&lt;&gt;"",VLOOKUP(A195,Employees!A:Q,12,0),""))),"")</f>
        <v/>
      </c>
      <c r="J195" t="str">
        <f>IF(IF(A195&lt;&gt;"",VLOOKUP(A195,Employees!A:Q,14,0),"")="NULL","",IF(A195&lt;&gt;"",VLOOKUP(A195,Employees!A:Q,14,0),""))</f>
        <v/>
      </c>
    </row>
    <row r="196" spans="2:10" x14ac:dyDescent="0.25">
      <c r="B196" t="str">
        <f>IF(A196&lt;&gt;"",VLOOKUP(A196,Employees!A:Q,2,0),"")</f>
        <v/>
      </c>
      <c r="C196" t="str">
        <f>IF(A196&lt;&gt;"",VLOOKUP(A196,Employees!A:Q,3,0),"")</f>
        <v/>
      </c>
      <c r="D196" s="17" t="str">
        <f>IF(IF(A196&lt;&gt;"",VLOOKUP(A196,Employees!A:Q,4,0),"")="NULL","",IF(A196&lt;&gt;"",VLOOKUP(A196,Employees!A:Q,4,0),""))</f>
        <v/>
      </c>
      <c r="E196" s="17" t="str">
        <f>IF(IF(A196&lt;&gt;"",VLOOKUP(A196,Employees!A:Q,5,0),"")="NULL","",IF(A196&lt;&gt;"",VLOOKUP(A196,Employees!A:Q,5,0),""))</f>
        <v/>
      </c>
      <c r="F196" t="str">
        <f>IF(IF(A196&lt;&gt;"",VLOOKUP(A196,Employees!A:Q,9,0),"")="NULL","",IF(A196&lt;&gt;"",VLOOKUP(A196,Employees!A:Q,9,0),""))</f>
        <v/>
      </c>
      <c r="G196" t="str">
        <f>IF(IF(A196&lt;&gt;"",VLOOKUP(A196,Employees!A:Q,10,0),"")="NULL","",IF(A196&lt;&gt;"",VLOOKUP(A196,Employees!A:Q,10,0),""))</f>
        <v/>
      </c>
      <c r="H196" t="str">
        <f>IF(IF(A196&lt;&gt;"",VLOOKUP(A196,Employees!A:Q,11,0),"")="NULL","",IF(A196&lt;&gt;"",VLOOKUP(A196,Employees!A:Q,11,0),""))</f>
        <v/>
      </c>
      <c r="I196" s="25" t="str">
        <f>IFERROR(VALUE(IF(IF(A196&lt;&gt;"",VLOOKUP(A196,Employees!A:Q,12,0),"")="NULL","",IF(A196&lt;&gt;"",VLOOKUP(A196,Employees!A:Q,12,0),""))),"")</f>
        <v/>
      </c>
      <c r="J196" t="str">
        <f>IF(IF(A196&lt;&gt;"",VLOOKUP(A196,Employees!A:Q,14,0),"")="NULL","",IF(A196&lt;&gt;"",VLOOKUP(A196,Employees!A:Q,14,0),""))</f>
        <v/>
      </c>
    </row>
    <row r="197" spans="2:10" x14ac:dyDescent="0.25">
      <c r="B197" t="str">
        <f>IF(A197&lt;&gt;"",VLOOKUP(A197,Employees!A:Q,2,0),"")</f>
        <v/>
      </c>
      <c r="C197" t="str">
        <f>IF(A197&lt;&gt;"",VLOOKUP(A197,Employees!A:Q,3,0),"")</f>
        <v/>
      </c>
      <c r="D197" s="17" t="str">
        <f>IF(IF(A197&lt;&gt;"",VLOOKUP(A197,Employees!A:Q,4,0),"")="NULL","",IF(A197&lt;&gt;"",VLOOKUP(A197,Employees!A:Q,4,0),""))</f>
        <v/>
      </c>
      <c r="E197" s="17" t="str">
        <f>IF(IF(A197&lt;&gt;"",VLOOKUP(A197,Employees!A:Q,5,0),"")="NULL","",IF(A197&lt;&gt;"",VLOOKUP(A197,Employees!A:Q,5,0),""))</f>
        <v/>
      </c>
      <c r="F197" t="str">
        <f>IF(IF(A197&lt;&gt;"",VLOOKUP(A197,Employees!A:Q,9,0),"")="NULL","",IF(A197&lt;&gt;"",VLOOKUP(A197,Employees!A:Q,9,0),""))</f>
        <v/>
      </c>
      <c r="G197" t="str">
        <f>IF(IF(A197&lt;&gt;"",VLOOKUP(A197,Employees!A:Q,10,0),"")="NULL","",IF(A197&lt;&gt;"",VLOOKUP(A197,Employees!A:Q,10,0),""))</f>
        <v/>
      </c>
      <c r="H197" t="str">
        <f>IF(IF(A197&lt;&gt;"",VLOOKUP(A197,Employees!A:Q,11,0),"")="NULL","",IF(A197&lt;&gt;"",VLOOKUP(A197,Employees!A:Q,11,0),""))</f>
        <v/>
      </c>
      <c r="I197" s="25" t="str">
        <f>IFERROR(VALUE(IF(IF(A197&lt;&gt;"",VLOOKUP(A197,Employees!A:Q,12,0),"")="NULL","",IF(A197&lt;&gt;"",VLOOKUP(A197,Employees!A:Q,12,0),""))),"")</f>
        <v/>
      </c>
      <c r="J197" t="str">
        <f>IF(IF(A197&lt;&gt;"",VLOOKUP(A197,Employees!A:Q,14,0),"")="NULL","",IF(A197&lt;&gt;"",VLOOKUP(A197,Employees!A:Q,14,0),""))</f>
        <v/>
      </c>
    </row>
    <row r="198" spans="2:10" x14ac:dyDescent="0.25">
      <c r="B198" t="str">
        <f>IF(A198&lt;&gt;"",VLOOKUP(A198,Employees!A:Q,2,0),"")</f>
        <v/>
      </c>
      <c r="C198" t="str">
        <f>IF(A198&lt;&gt;"",VLOOKUP(A198,Employees!A:Q,3,0),"")</f>
        <v/>
      </c>
      <c r="D198" s="17" t="str">
        <f>IF(IF(A198&lt;&gt;"",VLOOKUP(A198,Employees!A:Q,4,0),"")="NULL","",IF(A198&lt;&gt;"",VLOOKUP(A198,Employees!A:Q,4,0),""))</f>
        <v/>
      </c>
      <c r="E198" s="17" t="str">
        <f>IF(IF(A198&lt;&gt;"",VLOOKUP(A198,Employees!A:Q,5,0),"")="NULL","",IF(A198&lt;&gt;"",VLOOKUP(A198,Employees!A:Q,5,0),""))</f>
        <v/>
      </c>
      <c r="F198" t="str">
        <f>IF(IF(A198&lt;&gt;"",VLOOKUP(A198,Employees!A:Q,9,0),"")="NULL","",IF(A198&lt;&gt;"",VLOOKUP(A198,Employees!A:Q,9,0),""))</f>
        <v/>
      </c>
      <c r="G198" t="str">
        <f>IF(IF(A198&lt;&gt;"",VLOOKUP(A198,Employees!A:Q,10,0),"")="NULL","",IF(A198&lt;&gt;"",VLOOKUP(A198,Employees!A:Q,10,0),""))</f>
        <v/>
      </c>
      <c r="H198" t="str">
        <f>IF(IF(A198&lt;&gt;"",VLOOKUP(A198,Employees!A:Q,11,0),"")="NULL","",IF(A198&lt;&gt;"",VLOOKUP(A198,Employees!A:Q,11,0),""))</f>
        <v/>
      </c>
      <c r="I198" s="25" t="str">
        <f>IFERROR(VALUE(IF(IF(A198&lt;&gt;"",VLOOKUP(A198,Employees!A:Q,12,0),"")="NULL","",IF(A198&lt;&gt;"",VLOOKUP(A198,Employees!A:Q,12,0),""))),"")</f>
        <v/>
      </c>
      <c r="J198" t="str">
        <f>IF(IF(A198&lt;&gt;"",VLOOKUP(A198,Employees!A:Q,14,0),"")="NULL","",IF(A198&lt;&gt;"",VLOOKUP(A198,Employees!A:Q,14,0),""))</f>
        <v/>
      </c>
    </row>
    <row r="199" spans="2:10" x14ac:dyDescent="0.25">
      <c r="B199" t="str">
        <f>IF(A199&lt;&gt;"",VLOOKUP(A199,Employees!A:Q,2,0),"")</f>
        <v/>
      </c>
      <c r="C199" t="str">
        <f>IF(A199&lt;&gt;"",VLOOKUP(A199,Employees!A:Q,3,0),"")</f>
        <v/>
      </c>
      <c r="D199" s="17" t="str">
        <f>IF(IF(A199&lt;&gt;"",VLOOKUP(A199,Employees!A:Q,4,0),"")="NULL","",IF(A199&lt;&gt;"",VLOOKUP(A199,Employees!A:Q,4,0),""))</f>
        <v/>
      </c>
      <c r="E199" s="17" t="str">
        <f>IF(IF(A199&lt;&gt;"",VLOOKUP(A199,Employees!A:Q,5,0),"")="NULL","",IF(A199&lt;&gt;"",VLOOKUP(A199,Employees!A:Q,5,0),""))</f>
        <v/>
      </c>
      <c r="F199" t="str">
        <f>IF(IF(A199&lt;&gt;"",VLOOKUP(A199,Employees!A:Q,9,0),"")="NULL","",IF(A199&lt;&gt;"",VLOOKUP(A199,Employees!A:Q,9,0),""))</f>
        <v/>
      </c>
      <c r="G199" t="str">
        <f>IF(IF(A199&lt;&gt;"",VLOOKUP(A199,Employees!A:Q,10,0),"")="NULL","",IF(A199&lt;&gt;"",VLOOKUP(A199,Employees!A:Q,10,0),""))</f>
        <v/>
      </c>
      <c r="H199" t="str">
        <f>IF(IF(A199&lt;&gt;"",VLOOKUP(A199,Employees!A:Q,11,0),"")="NULL","",IF(A199&lt;&gt;"",VLOOKUP(A199,Employees!A:Q,11,0),""))</f>
        <v/>
      </c>
      <c r="I199" s="25" t="str">
        <f>IFERROR(VALUE(IF(IF(A199&lt;&gt;"",VLOOKUP(A199,Employees!A:Q,12,0),"")="NULL","",IF(A199&lt;&gt;"",VLOOKUP(A199,Employees!A:Q,12,0),""))),"")</f>
        <v/>
      </c>
      <c r="J199" t="str">
        <f>IF(IF(A199&lt;&gt;"",VLOOKUP(A199,Employees!A:Q,14,0),"")="NULL","",IF(A199&lt;&gt;"",VLOOKUP(A199,Employees!A:Q,14,0),""))</f>
        <v/>
      </c>
    </row>
    <row r="200" spans="2:10" x14ac:dyDescent="0.25">
      <c r="B200" t="str">
        <f>IF(A200&lt;&gt;"",VLOOKUP(A200,Employees!A:Q,2,0),"")</f>
        <v/>
      </c>
      <c r="C200" t="str">
        <f>IF(A200&lt;&gt;"",VLOOKUP(A200,Employees!A:Q,3,0),"")</f>
        <v/>
      </c>
      <c r="D200" s="17" t="str">
        <f>IF(IF(A200&lt;&gt;"",VLOOKUP(A200,Employees!A:Q,4,0),"")="NULL","",IF(A200&lt;&gt;"",VLOOKUP(A200,Employees!A:Q,4,0),""))</f>
        <v/>
      </c>
      <c r="E200" s="17" t="str">
        <f>IF(IF(A200&lt;&gt;"",VLOOKUP(A200,Employees!A:Q,5,0),"")="NULL","",IF(A200&lt;&gt;"",VLOOKUP(A200,Employees!A:Q,5,0),""))</f>
        <v/>
      </c>
      <c r="F200" t="str">
        <f>IF(IF(A200&lt;&gt;"",VLOOKUP(A200,Employees!A:Q,9,0),"")="NULL","",IF(A200&lt;&gt;"",VLOOKUP(A200,Employees!A:Q,9,0),""))</f>
        <v/>
      </c>
      <c r="G200" t="str">
        <f>IF(IF(A200&lt;&gt;"",VLOOKUP(A200,Employees!A:Q,10,0),"")="NULL","",IF(A200&lt;&gt;"",VLOOKUP(A200,Employees!A:Q,10,0),""))</f>
        <v/>
      </c>
      <c r="H200" t="str">
        <f>IF(IF(A200&lt;&gt;"",VLOOKUP(A200,Employees!A:Q,11,0),"")="NULL","",IF(A200&lt;&gt;"",VLOOKUP(A200,Employees!A:Q,11,0),""))</f>
        <v/>
      </c>
      <c r="I200" s="25" t="str">
        <f>IFERROR(VALUE(IF(IF(A200&lt;&gt;"",VLOOKUP(A200,Employees!A:Q,12,0),"")="NULL","",IF(A200&lt;&gt;"",VLOOKUP(A200,Employees!A:Q,12,0),""))),"")</f>
        <v/>
      </c>
      <c r="J200" t="str">
        <f>IF(IF(A200&lt;&gt;"",VLOOKUP(A200,Employees!A:Q,14,0),"")="NULL","",IF(A200&lt;&gt;"",VLOOKUP(A200,Employees!A:Q,14,0),""))</f>
        <v/>
      </c>
    </row>
    <row r="201" spans="2:10" x14ac:dyDescent="0.25">
      <c r="B201" t="str">
        <f>IF(A201&lt;&gt;"",VLOOKUP(A201,Employees!A:Q,2,0),"")</f>
        <v/>
      </c>
      <c r="C201" t="str">
        <f>IF(A201&lt;&gt;"",VLOOKUP(A201,Employees!A:Q,3,0),"")</f>
        <v/>
      </c>
      <c r="D201" s="17" t="str">
        <f>IF(IF(A201&lt;&gt;"",VLOOKUP(A201,Employees!A:Q,4,0),"")="NULL","",IF(A201&lt;&gt;"",VLOOKUP(A201,Employees!A:Q,4,0),""))</f>
        <v/>
      </c>
      <c r="E201" s="17" t="str">
        <f>IF(IF(A201&lt;&gt;"",VLOOKUP(A201,Employees!A:Q,5,0),"")="NULL","",IF(A201&lt;&gt;"",VLOOKUP(A201,Employees!A:Q,5,0),""))</f>
        <v/>
      </c>
      <c r="F201" t="str">
        <f>IF(IF(A201&lt;&gt;"",VLOOKUP(A201,Employees!A:Q,9,0),"")="NULL","",IF(A201&lt;&gt;"",VLOOKUP(A201,Employees!A:Q,9,0),""))</f>
        <v/>
      </c>
      <c r="G201" t="str">
        <f>IF(IF(A201&lt;&gt;"",VLOOKUP(A201,Employees!A:Q,10,0),"")="NULL","",IF(A201&lt;&gt;"",VLOOKUP(A201,Employees!A:Q,10,0),""))</f>
        <v/>
      </c>
      <c r="H201" t="str">
        <f>IF(IF(A201&lt;&gt;"",VLOOKUP(A201,Employees!A:Q,11,0),"")="NULL","",IF(A201&lt;&gt;"",VLOOKUP(A201,Employees!A:Q,11,0),""))</f>
        <v/>
      </c>
      <c r="I201" s="25" t="str">
        <f>IFERROR(VALUE(IF(IF(A201&lt;&gt;"",VLOOKUP(A201,Employees!A:Q,12,0),"")="NULL","",IF(A201&lt;&gt;"",VLOOKUP(A201,Employees!A:Q,12,0),""))),"")</f>
        <v/>
      </c>
      <c r="J201" t="str">
        <f>IF(IF(A201&lt;&gt;"",VLOOKUP(A201,Employees!A:Q,14,0),"")="NULL","",IF(A201&lt;&gt;"",VLOOKUP(A201,Employees!A:Q,14,0),""))</f>
        <v/>
      </c>
    </row>
    <row r="202" spans="2:10" x14ac:dyDescent="0.25">
      <c r="B202" t="str">
        <f>IF(A202&lt;&gt;"",VLOOKUP(A202,Employees!A:Q,2,0),"")</f>
        <v/>
      </c>
      <c r="C202" t="str">
        <f>IF(A202&lt;&gt;"",VLOOKUP(A202,Employees!A:Q,3,0),"")</f>
        <v/>
      </c>
      <c r="D202" s="17" t="str">
        <f>IF(IF(A202&lt;&gt;"",VLOOKUP(A202,Employees!A:Q,4,0),"")="NULL","",IF(A202&lt;&gt;"",VLOOKUP(A202,Employees!A:Q,4,0),""))</f>
        <v/>
      </c>
      <c r="E202" s="17" t="str">
        <f>IF(IF(A202&lt;&gt;"",VLOOKUP(A202,Employees!A:Q,5,0),"")="NULL","",IF(A202&lt;&gt;"",VLOOKUP(A202,Employees!A:Q,5,0),""))</f>
        <v/>
      </c>
      <c r="F202" t="str">
        <f>IF(IF(A202&lt;&gt;"",VLOOKUP(A202,Employees!A:Q,9,0),"")="NULL","",IF(A202&lt;&gt;"",VLOOKUP(A202,Employees!A:Q,9,0),""))</f>
        <v/>
      </c>
      <c r="G202" t="str">
        <f>IF(IF(A202&lt;&gt;"",VLOOKUP(A202,Employees!A:Q,10,0),"")="NULL","",IF(A202&lt;&gt;"",VLOOKUP(A202,Employees!A:Q,10,0),""))</f>
        <v/>
      </c>
      <c r="H202" t="str">
        <f>IF(IF(A202&lt;&gt;"",VLOOKUP(A202,Employees!A:Q,11,0),"")="NULL","",IF(A202&lt;&gt;"",VLOOKUP(A202,Employees!A:Q,11,0),""))</f>
        <v/>
      </c>
      <c r="I202" s="25" t="str">
        <f>IFERROR(VALUE(IF(IF(A202&lt;&gt;"",VLOOKUP(A202,Employees!A:Q,12,0),"")="NULL","",IF(A202&lt;&gt;"",VLOOKUP(A202,Employees!A:Q,12,0),""))),"")</f>
        <v/>
      </c>
      <c r="J202" t="str">
        <f>IF(IF(A202&lt;&gt;"",VLOOKUP(A202,Employees!A:Q,14,0),"")="NULL","",IF(A202&lt;&gt;"",VLOOKUP(A202,Employees!A:Q,14,0),""))</f>
        <v/>
      </c>
    </row>
    <row r="203" spans="2:10" x14ac:dyDescent="0.25">
      <c r="B203" t="str">
        <f>IF(A203&lt;&gt;"",VLOOKUP(A203,Employees!A:Q,2,0),"")</f>
        <v/>
      </c>
      <c r="C203" t="str">
        <f>IF(A203&lt;&gt;"",VLOOKUP(A203,Employees!A:Q,3,0),"")</f>
        <v/>
      </c>
      <c r="D203" s="17" t="str">
        <f>IF(IF(A203&lt;&gt;"",VLOOKUP(A203,Employees!A:Q,4,0),"")="NULL","",IF(A203&lt;&gt;"",VLOOKUP(A203,Employees!A:Q,4,0),""))</f>
        <v/>
      </c>
      <c r="E203" s="17" t="str">
        <f>IF(IF(A203&lt;&gt;"",VLOOKUP(A203,Employees!A:Q,5,0),"")="NULL","",IF(A203&lt;&gt;"",VLOOKUP(A203,Employees!A:Q,5,0),""))</f>
        <v/>
      </c>
      <c r="F203" t="str">
        <f>IF(IF(A203&lt;&gt;"",VLOOKUP(A203,Employees!A:Q,9,0),"")="NULL","",IF(A203&lt;&gt;"",VLOOKUP(A203,Employees!A:Q,9,0),""))</f>
        <v/>
      </c>
      <c r="G203" t="str">
        <f>IF(IF(A203&lt;&gt;"",VLOOKUP(A203,Employees!A:Q,10,0),"")="NULL","",IF(A203&lt;&gt;"",VLOOKUP(A203,Employees!A:Q,10,0),""))</f>
        <v/>
      </c>
      <c r="H203" t="str">
        <f>IF(IF(A203&lt;&gt;"",VLOOKUP(A203,Employees!A:Q,11,0),"")="NULL","",IF(A203&lt;&gt;"",VLOOKUP(A203,Employees!A:Q,11,0),""))</f>
        <v/>
      </c>
      <c r="I203" s="25" t="str">
        <f>IFERROR(VALUE(IF(IF(A203&lt;&gt;"",VLOOKUP(A203,Employees!A:Q,12,0),"")="NULL","",IF(A203&lt;&gt;"",VLOOKUP(A203,Employees!A:Q,12,0),""))),"")</f>
        <v/>
      </c>
      <c r="J203" t="str">
        <f>IF(IF(A203&lt;&gt;"",VLOOKUP(A203,Employees!A:Q,14,0),"")="NULL","",IF(A203&lt;&gt;"",VLOOKUP(A203,Employees!A:Q,14,0),""))</f>
        <v/>
      </c>
    </row>
    <row r="204" spans="2:10" x14ac:dyDescent="0.25">
      <c r="B204" t="str">
        <f>IF(A204&lt;&gt;"",VLOOKUP(A204,Employees!A:Q,2,0),"")</f>
        <v/>
      </c>
      <c r="C204" t="str">
        <f>IF(A204&lt;&gt;"",VLOOKUP(A204,Employees!A:Q,3,0),"")</f>
        <v/>
      </c>
      <c r="D204" s="17" t="str">
        <f>IF(IF(A204&lt;&gt;"",VLOOKUP(A204,Employees!A:Q,4,0),"")="NULL","",IF(A204&lt;&gt;"",VLOOKUP(A204,Employees!A:Q,4,0),""))</f>
        <v/>
      </c>
      <c r="E204" s="17" t="str">
        <f>IF(IF(A204&lt;&gt;"",VLOOKUP(A204,Employees!A:Q,5,0),"")="NULL","",IF(A204&lt;&gt;"",VLOOKUP(A204,Employees!A:Q,5,0),""))</f>
        <v/>
      </c>
      <c r="F204" t="str">
        <f>IF(IF(A204&lt;&gt;"",VLOOKUP(A204,Employees!A:Q,9,0),"")="NULL","",IF(A204&lt;&gt;"",VLOOKUP(A204,Employees!A:Q,9,0),""))</f>
        <v/>
      </c>
      <c r="G204" t="str">
        <f>IF(IF(A204&lt;&gt;"",VLOOKUP(A204,Employees!A:Q,10,0),"")="NULL","",IF(A204&lt;&gt;"",VLOOKUP(A204,Employees!A:Q,10,0),""))</f>
        <v/>
      </c>
      <c r="H204" t="str">
        <f>IF(IF(A204&lt;&gt;"",VLOOKUP(A204,Employees!A:Q,11,0),"")="NULL","",IF(A204&lt;&gt;"",VLOOKUP(A204,Employees!A:Q,11,0),""))</f>
        <v/>
      </c>
      <c r="I204" s="25" t="str">
        <f>IFERROR(VALUE(IF(IF(A204&lt;&gt;"",VLOOKUP(A204,Employees!A:Q,12,0),"")="NULL","",IF(A204&lt;&gt;"",VLOOKUP(A204,Employees!A:Q,12,0),""))),"")</f>
        <v/>
      </c>
      <c r="J204" t="str">
        <f>IF(IF(A204&lt;&gt;"",VLOOKUP(A204,Employees!A:Q,14,0),"")="NULL","",IF(A204&lt;&gt;"",VLOOKUP(A204,Employees!A:Q,14,0),""))</f>
        <v/>
      </c>
    </row>
    <row r="205" spans="2:10" x14ac:dyDescent="0.25">
      <c r="B205" t="str">
        <f>IF(A205&lt;&gt;"",VLOOKUP(A205,Employees!A:Q,2,0),"")</f>
        <v/>
      </c>
      <c r="C205" t="str">
        <f>IF(A205&lt;&gt;"",VLOOKUP(A205,Employees!A:Q,3,0),"")</f>
        <v/>
      </c>
      <c r="D205" s="17" t="str">
        <f>IF(IF(A205&lt;&gt;"",VLOOKUP(A205,Employees!A:Q,4,0),"")="NULL","",IF(A205&lt;&gt;"",VLOOKUP(A205,Employees!A:Q,4,0),""))</f>
        <v/>
      </c>
      <c r="E205" s="17" t="str">
        <f>IF(IF(A205&lt;&gt;"",VLOOKUP(A205,Employees!A:Q,5,0),"")="NULL","",IF(A205&lt;&gt;"",VLOOKUP(A205,Employees!A:Q,5,0),""))</f>
        <v/>
      </c>
      <c r="F205" t="str">
        <f>IF(IF(A205&lt;&gt;"",VLOOKUP(A205,Employees!A:Q,9,0),"")="NULL","",IF(A205&lt;&gt;"",VLOOKUP(A205,Employees!A:Q,9,0),""))</f>
        <v/>
      </c>
      <c r="G205" t="str">
        <f>IF(IF(A205&lt;&gt;"",VLOOKUP(A205,Employees!A:Q,10,0),"")="NULL","",IF(A205&lt;&gt;"",VLOOKUP(A205,Employees!A:Q,10,0),""))</f>
        <v/>
      </c>
      <c r="H205" t="str">
        <f>IF(IF(A205&lt;&gt;"",VLOOKUP(A205,Employees!A:Q,11,0),"")="NULL","",IF(A205&lt;&gt;"",VLOOKUP(A205,Employees!A:Q,11,0),""))</f>
        <v/>
      </c>
      <c r="I205" s="25" t="str">
        <f>IFERROR(VALUE(IF(IF(A205&lt;&gt;"",VLOOKUP(A205,Employees!A:Q,12,0),"")="NULL","",IF(A205&lt;&gt;"",VLOOKUP(A205,Employees!A:Q,12,0),""))),"")</f>
        <v/>
      </c>
      <c r="J205" t="str">
        <f>IF(IF(A205&lt;&gt;"",VLOOKUP(A205,Employees!A:Q,14,0),"")="NULL","",IF(A205&lt;&gt;"",VLOOKUP(A205,Employees!A:Q,14,0),""))</f>
        <v/>
      </c>
    </row>
    <row r="206" spans="2:10" x14ac:dyDescent="0.25">
      <c r="B206" t="str">
        <f>IF(A206&lt;&gt;"",VLOOKUP(A206,Employees!A:Q,2,0),"")</f>
        <v/>
      </c>
      <c r="C206" t="str">
        <f>IF(A206&lt;&gt;"",VLOOKUP(A206,Employees!A:Q,3,0),"")</f>
        <v/>
      </c>
      <c r="D206" s="17" t="str">
        <f>IF(IF(A206&lt;&gt;"",VLOOKUP(A206,Employees!A:Q,4,0),"")="NULL","",IF(A206&lt;&gt;"",VLOOKUP(A206,Employees!A:Q,4,0),""))</f>
        <v/>
      </c>
      <c r="E206" s="17" t="str">
        <f>IF(IF(A206&lt;&gt;"",VLOOKUP(A206,Employees!A:Q,5,0),"")="NULL","",IF(A206&lt;&gt;"",VLOOKUP(A206,Employees!A:Q,5,0),""))</f>
        <v/>
      </c>
      <c r="F206" t="str">
        <f>IF(IF(A206&lt;&gt;"",VLOOKUP(A206,Employees!A:Q,9,0),"")="NULL","",IF(A206&lt;&gt;"",VLOOKUP(A206,Employees!A:Q,9,0),""))</f>
        <v/>
      </c>
      <c r="G206" t="str">
        <f>IF(IF(A206&lt;&gt;"",VLOOKUP(A206,Employees!A:Q,10,0),"")="NULL","",IF(A206&lt;&gt;"",VLOOKUP(A206,Employees!A:Q,10,0),""))</f>
        <v/>
      </c>
      <c r="H206" t="str">
        <f>IF(IF(A206&lt;&gt;"",VLOOKUP(A206,Employees!A:Q,11,0),"")="NULL","",IF(A206&lt;&gt;"",VLOOKUP(A206,Employees!A:Q,11,0),""))</f>
        <v/>
      </c>
      <c r="I206" s="25" t="str">
        <f>IFERROR(VALUE(IF(IF(A206&lt;&gt;"",VLOOKUP(A206,Employees!A:Q,12,0),"")="NULL","",IF(A206&lt;&gt;"",VLOOKUP(A206,Employees!A:Q,12,0),""))),"")</f>
        <v/>
      </c>
      <c r="J206" t="str">
        <f>IF(IF(A206&lt;&gt;"",VLOOKUP(A206,Employees!A:Q,14,0),"")="NULL","",IF(A206&lt;&gt;"",VLOOKUP(A206,Employees!A:Q,14,0),""))</f>
        <v/>
      </c>
    </row>
    <row r="207" spans="2:10" x14ac:dyDescent="0.25">
      <c r="B207" t="str">
        <f>IF(A207&lt;&gt;"",VLOOKUP(A207,Employees!A:Q,2,0),"")</f>
        <v/>
      </c>
      <c r="C207" t="str">
        <f>IF(A207&lt;&gt;"",VLOOKUP(A207,Employees!A:Q,3,0),"")</f>
        <v/>
      </c>
      <c r="D207" s="17" t="str">
        <f>IF(IF(A207&lt;&gt;"",VLOOKUP(A207,Employees!A:Q,4,0),"")="NULL","",IF(A207&lt;&gt;"",VLOOKUP(A207,Employees!A:Q,4,0),""))</f>
        <v/>
      </c>
      <c r="E207" s="17" t="str">
        <f>IF(IF(A207&lt;&gt;"",VLOOKUP(A207,Employees!A:Q,5,0),"")="NULL","",IF(A207&lt;&gt;"",VLOOKUP(A207,Employees!A:Q,5,0),""))</f>
        <v/>
      </c>
      <c r="F207" t="str">
        <f>IF(IF(A207&lt;&gt;"",VLOOKUP(A207,Employees!A:Q,9,0),"")="NULL","",IF(A207&lt;&gt;"",VLOOKUP(A207,Employees!A:Q,9,0),""))</f>
        <v/>
      </c>
      <c r="G207" t="str">
        <f>IF(IF(A207&lt;&gt;"",VLOOKUP(A207,Employees!A:Q,10,0),"")="NULL","",IF(A207&lt;&gt;"",VLOOKUP(A207,Employees!A:Q,10,0),""))</f>
        <v/>
      </c>
      <c r="H207" t="str">
        <f>IF(IF(A207&lt;&gt;"",VLOOKUP(A207,Employees!A:Q,11,0),"")="NULL","",IF(A207&lt;&gt;"",VLOOKUP(A207,Employees!A:Q,11,0),""))</f>
        <v/>
      </c>
      <c r="I207" s="25" t="str">
        <f>IFERROR(VALUE(IF(IF(A207&lt;&gt;"",VLOOKUP(A207,Employees!A:Q,12,0),"")="NULL","",IF(A207&lt;&gt;"",VLOOKUP(A207,Employees!A:Q,12,0),""))),"")</f>
        <v/>
      </c>
      <c r="J207" t="str">
        <f>IF(IF(A207&lt;&gt;"",VLOOKUP(A207,Employees!A:Q,14,0),"")="NULL","",IF(A207&lt;&gt;"",VLOOKUP(A207,Employees!A:Q,14,0),""))</f>
        <v/>
      </c>
    </row>
    <row r="208" spans="2:10" x14ac:dyDescent="0.25">
      <c r="B208" t="str">
        <f>IF(A208&lt;&gt;"",VLOOKUP(A208,Employees!A:Q,2,0),"")</f>
        <v/>
      </c>
      <c r="C208" t="str">
        <f>IF(A208&lt;&gt;"",VLOOKUP(A208,Employees!A:Q,3,0),"")</f>
        <v/>
      </c>
      <c r="D208" s="17" t="str">
        <f>IF(IF(A208&lt;&gt;"",VLOOKUP(A208,Employees!A:Q,4,0),"")="NULL","",IF(A208&lt;&gt;"",VLOOKUP(A208,Employees!A:Q,4,0),""))</f>
        <v/>
      </c>
      <c r="E208" s="17" t="str">
        <f>IF(IF(A208&lt;&gt;"",VLOOKUP(A208,Employees!A:Q,5,0),"")="NULL","",IF(A208&lt;&gt;"",VLOOKUP(A208,Employees!A:Q,5,0),""))</f>
        <v/>
      </c>
      <c r="F208" t="str">
        <f>IF(IF(A208&lt;&gt;"",VLOOKUP(A208,Employees!A:Q,9,0),"")="NULL","",IF(A208&lt;&gt;"",VLOOKUP(A208,Employees!A:Q,9,0),""))</f>
        <v/>
      </c>
      <c r="G208" t="str">
        <f>IF(IF(A208&lt;&gt;"",VLOOKUP(A208,Employees!A:Q,10,0),"")="NULL","",IF(A208&lt;&gt;"",VLOOKUP(A208,Employees!A:Q,10,0),""))</f>
        <v/>
      </c>
      <c r="H208" t="str">
        <f>IF(IF(A208&lt;&gt;"",VLOOKUP(A208,Employees!A:Q,11,0),"")="NULL","",IF(A208&lt;&gt;"",VLOOKUP(A208,Employees!A:Q,11,0),""))</f>
        <v/>
      </c>
      <c r="I208" s="25" t="str">
        <f>IFERROR(VALUE(IF(IF(A208&lt;&gt;"",VLOOKUP(A208,Employees!A:Q,12,0),"")="NULL","",IF(A208&lt;&gt;"",VLOOKUP(A208,Employees!A:Q,12,0),""))),"")</f>
        <v/>
      </c>
      <c r="J208" t="str">
        <f>IF(IF(A208&lt;&gt;"",VLOOKUP(A208,Employees!A:Q,14,0),"")="NULL","",IF(A208&lt;&gt;"",VLOOKUP(A208,Employees!A:Q,14,0),""))</f>
        <v/>
      </c>
    </row>
    <row r="209" spans="2:10" x14ac:dyDescent="0.25">
      <c r="B209" t="str">
        <f>IF(A209&lt;&gt;"",VLOOKUP(A209,Employees!A:Q,2,0),"")</f>
        <v/>
      </c>
      <c r="C209" t="str">
        <f>IF(A209&lt;&gt;"",VLOOKUP(A209,Employees!A:Q,3,0),"")</f>
        <v/>
      </c>
      <c r="D209" s="17" t="str">
        <f>IF(IF(A209&lt;&gt;"",VLOOKUP(A209,Employees!A:Q,4,0),"")="NULL","",IF(A209&lt;&gt;"",VLOOKUP(A209,Employees!A:Q,4,0),""))</f>
        <v/>
      </c>
      <c r="E209" s="17" t="str">
        <f>IF(IF(A209&lt;&gt;"",VLOOKUP(A209,Employees!A:Q,5,0),"")="NULL","",IF(A209&lt;&gt;"",VLOOKUP(A209,Employees!A:Q,5,0),""))</f>
        <v/>
      </c>
      <c r="F209" t="str">
        <f>IF(IF(A209&lt;&gt;"",VLOOKUP(A209,Employees!A:Q,9,0),"")="NULL","",IF(A209&lt;&gt;"",VLOOKUP(A209,Employees!A:Q,9,0),""))</f>
        <v/>
      </c>
      <c r="G209" t="str">
        <f>IF(IF(A209&lt;&gt;"",VLOOKUP(A209,Employees!A:Q,10,0),"")="NULL","",IF(A209&lt;&gt;"",VLOOKUP(A209,Employees!A:Q,10,0),""))</f>
        <v/>
      </c>
      <c r="H209" t="str">
        <f>IF(IF(A209&lt;&gt;"",VLOOKUP(A209,Employees!A:Q,11,0),"")="NULL","",IF(A209&lt;&gt;"",VLOOKUP(A209,Employees!A:Q,11,0),""))</f>
        <v/>
      </c>
      <c r="I209" s="25" t="str">
        <f>IFERROR(VALUE(IF(IF(A209&lt;&gt;"",VLOOKUP(A209,Employees!A:Q,12,0),"")="NULL","",IF(A209&lt;&gt;"",VLOOKUP(A209,Employees!A:Q,12,0),""))),"")</f>
        <v/>
      </c>
      <c r="J209" t="str">
        <f>IF(IF(A209&lt;&gt;"",VLOOKUP(A209,Employees!A:Q,14,0),"")="NULL","",IF(A209&lt;&gt;"",VLOOKUP(A209,Employees!A:Q,14,0),""))</f>
        <v/>
      </c>
    </row>
    <row r="210" spans="2:10" x14ac:dyDescent="0.25">
      <c r="B210" t="str">
        <f>IF(A210&lt;&gt;"",VLOOKUP(A210,Employees!A:Q,2,0),"")</f>
        <v/>
      </c>
      <c r="C210" t="str">
        <f>IF(A210&lt;&gt;"",VLOOKUP(A210,Employees!A:Q,3,0),"")</f>
        <v/>
      </c>
      <c r="D210" s="17" t="str">
        <f>IF(IF(A210&lt;&gt;"",VLOOKUP(A210,Employees!A:Q,4,0),"")="NULL","",IF(A210&lt;&gt;"",VLOOKUP(A210,Employees!A:Q,4,0),""))</f>
        <v/>
      </c>
      <c r="E210" s="17" t="str">
        <f>IF(IF(A210&lt;&gt;"",VLOOKUP(A210,Employees!A:Q,5,0),"")="NULL","",IF(A210&lt;&gt;"",VLOOKUP(A210,Employees!A:Q,5,0),""))</f>
        <v/>
      </c>
      <c r="F210" t="str">
        <f>IF(IF(A210&lt;&gt;"",VLOOKUP(A210,Employees!A:Q,9,0),"")="NULL","",IF(A210&lt;&gt;"",VLOOKUP(A210,Employees!A:Q,9,0),""))</f>
        <v/>
      </c>
      <c r="G210" t="str">
        <f>IF(IF(A210&lt;&gt;"",VLOOKUP(A210,Employees!A:Q,10,0),"")="NULL","",IF(A210&lt;&gt;"",VLOOKUP(A210,Employees!A:Q,10,0),""))</f>
        <v/>
      </c>
      <c r="H210" t="str">
        <f>IF(IF(A210&lt;&gt;"",VLOOKUP(A210,Employees!A:Q,11,0),"")="NULL","",IF(A210&lt;&gt;"",VLOOKUP(A210,Employees!A:Q,11,0),""))</f>
        <v/>
      </c>
      <c r="I210" s="25" t="str">
        <f>IFERROR(VALUE(IF(IF(A210&lt;&gt;"",VLOOKUP(A210,Employees!A:Q,12,0),"")="NULL","",IF(A210&lt;&gt;"",VLOOKUP(A210,Employees!A:Q,12,0),""))),"")</f>
        <v/>
      </c>
      <c r="J210" t="str">
        <f>IF(IF(A210&lt;&gt;"",VLOOKUP(A210,Employees!A:Q,14,0),"")="NULL","",IF(A210&lt;&gt;"",VLOOKUP(A210,Employees!A:Q,14,0),""))</f>
        <v/>
      </c>
    </row>
    <row r="211" spans="2:10" x14ac:dyDescent="0.25">
      <c r="B211" t="str">
        <f>IF(A211&lt;&gt;"",VLOOKUP(A211,Employees!A:Q,2,0),"")</f>
        <v/>
      </c>
      <c r="C211" t="str">
        <f>IF(A211&lt;&gt;"",VLOOKUP(A211,Employees!A:Q,3,0),"")</f>
        <v/>
      </c>
      <c r="D211" s="17" t="str">
        <f>IF(IF(A211&lt;&gt;"",VLOOKUP(A211,Employees!A:Q,4,0),"")="NULL","",IF(A211&lt;&gt;"",VLOOKUP(A211,Employees!A:Q,4,0),""))</f>
        <v/>
      </c>
      <c r="E211" s="17" t="str">
        <f>IF(IF(A211&lt;&gt;"",VLOOKUP(A211,Employees!A:Q,5,0),"")="NULL","",IF(A211&lt;&gt;"",VLOOKUP(A211,Employees!A:Q,5,0),""))</f>
        <v/>
      </c>
      <c r="F211" t="str">
        <f>IF(IF(A211&lt;&gt;"",VLOOKUP(A211,Employees!A:Q,9,0),"")="NULL","",IF(A211&lt;&gt;"",VLOOKUP(A211,Employees!A:Q,9,0),""))</f>
        <v/>
      </c>
      <c r="G211" t="str">
        <f>IF(IF(A211&lt;&gt;"",VLOOKUP(A211,Employees!A:Q,10,0),"")="NULL","",IF(A211&lt;&gt;"",VLOOKUP(A211,Employees!A:Q,10,0),""))</f>
        <v/>
      </c>
      <c r="H211" t="str">
        <f>IF(IF(A211&lt;&gt;"",VLOOKUP(A211,Employees!A:Q,11,0),"")="NULL","",IF(A211&lt;&gt;"",VLOOKUP(A211,Employees!A:Q,11,0),""))</f>
        <v/>
      </c>
      <c r="I211" s="25" t="str">
        <f>IFERROR(VALUE(IF(IF(A211&lt;&gt;"",VLOOKUP(A211,Employees!A:Q,12,0),"")="NULL","",IF(A211&lt;&gt;"",VLOOKUP(A211,Employees!A:Q,12,0),""))),"")</f>
        <v/>
      </c>
      <c r="J211" t="str">
        <f>IF(IF(A211&lt;&gt;"",VLOOKUP(A211,Employees!A:Q,14,0),"")="NULL","",IF(A211&lt;&gt;"",VLOOKUP(A211,Employees!A:Q,14,0),""))</f>
        <v/>
      </c>
    </row>
    <row r="212" spans="2:10" x14ac:dyDescent="0.25">
      <c r="B212" t="str">
        <f>IF(A212&lt;&gt;"",VLOOKUP(A212,Employees!A:Q,2,0),"")</f>
        <v/>
      </c>
      <c r="C212" t="str">
        <f>IF(A212&lt;&gt;"",VLOOKUP(A212,Employees!A:Q,3,0),"")</f>
        <v/>
      </c>
      <c r="D212" s="17" t="str">
        <f>IF(IF(A212&lt;&gt;"",VLOOKUP(A212,Employees!A:Q,4,0),"")="NULL","",IF(A212&lt;&gt;"",VLOOKUP(A212,Employees!A:Q,4,0),""))</f>
        <v/>
      </c>
      <c r="E212" s="17" t="str">
        <f>IF(IF(A212&lt;&gt;"",VLOOKUP(A212,Employees!A:Q,5,0),"")="NULL","",IF(A212&lt;&gt;"",VLOOKUP(A212,Employees!A:Q,5,0),""))</f>
        <v/>
      </c>
      <c r="F212" t="str">
        <f>IF(IF(A212&lt;&gt;"",VLOOKUP(A212,Employees!A:Q,9,0),"")="NULL","",IF(A212&lt;&gt;"",VLOOKUP(A212,Employees!A:Q,9,0),""))</f>
        <v/>
      </c>
      <c r="G212" t="str">
        <f>IF(IF(A212&lt;&gt;"",VLOOKUP(A212,Employees!A:Q,10,0),"")="NULL","",IF(A212&lt;&gt;"",VLOOKUP(A212,Employees!A:Q,10,0),""))</f>
        <v/>
      </c>
      <c r="H212" t="str">
        <f>IF(IF(A212&lt;&gt;"",VLOOKUP(A212,Employees!A:Q,11,0),"")="NULL","",IF(A212&lt;&gt;"",VLOOKUP(A212,Employees!A:Q,11,0),""))</f>
        <v/>
      </c>
      <c r="I212" s="25" t="str">
        <f>IFERROR(VALUE(IF(IF(A212&lt;&gt;"",VLOOKUP(A212,Employees!A:Q,12,0),"")="NULL","",IF(A212&lt;&gt;"",VLOOKUP(A212,Employees!A:Q,12,0),""))),"")</f>
        <v/>
      </c>
      <c r="J212" t="str">
        <f>IF(IF(A212&lt;&gt;"",VLOOKUP(A212,Employees!A:Q,14,0),"")="NULL","",IF(A212&lt;&gt;"",VLOOKUP(A212,Employees!A:Q,14,0),""))</f>
        <v/>
      </c>
    </row>
    <row r="213" spans="2:10" x14ac:dyDescent="0.25">
      <c r="B213" t="str">
        <f>IF(A213&lt;&gt;"",VLOOKUP(A213,Employees!A:Q,2,0),"")</f>
        <v/>
      </c>
      <c r="C213" t="str">
        <f>IF(A213&lt;&gt;"",VLOOKUP(A213,Employees!A:Q,3,0),"")</f>
        <v/>
      </c>
      <c r="D213" s="17" t="str">
        <f>IF(IF(A213&lt;&gt;"",VLOOKUP(A213,Employees!A:Q,4,0),"")="NULL","",IF(A213&lt;&gt;"",VLOOKUP(A213,Employees!A:Q,4,0),""))</f>
        <v/>
      </c>
      <c r="E213" s="17" t="str">
        <f>IF(IF(A213&lt;&gt;"",VLOOKUP(A213,Employees!A:Q,5,0),"")="NULL","",IF(A213&lt;&gt;"",VLOOKUP(A213,Employees!A:Q,5,0),""))</f>
        <v/>
      </c>
      <c r="F213" t="str">
        <f>IF(IF(A213&lt;&gt;"",VLOOKUP(A213,Employees!A:Q,9,0),"")="NULL","",IF(A213&lt;&gt;"",VLOOKUP(A213,Employees!A:Q,9,0),""))</f>
        <v/>
      </c>
      <c r="G213" t="str">
        <f>IF(IF(A213&lt;&gt;"",VLOOKUP(A213,Employees!A:Q,10,0),"")="NULL","",IF(A213&lt;&gt;"",VLOOKUP(A213,Employees!A:Q,10,0),""))</f>
        <v/>
      </c>
      <c r="H213" t="str">
        <f>IF(IF(A213&lt;&gt;"",VLOOKUP(A213,Employees!A:Q,11,0),"")="NULL","",IF(A213&lt;&gt;"",VLOOKUP(A213,Employees!A:Q,11,0),""))</f>
        <v/>
      </c>
      <c r="I213" s="25" t="str">
        <f>IFERROR(VALUE(IF(IF(A213&lt;&gt;"",VLOOKUP(A213,Employees!A:Q,12,0),"")="NULL","",IF(A213&lt;&gt;"",VLOOKUP(A213,Employees!A:Q,12,0),""))),"")</f>
        <v/>
      </c>
      <c r="J213" t="str">
        <f>IF(IF(A213&lt;&gt;"",VLOOKUP(A213,Employees!A:Q,14,0),"")="NULL","",IF(A213&lt;&gt;"",VLOOKUP(A213,Employees!A:Q,14,0),""))</f>
        <v/>
      </c>
    </row>
    <row r="214" spans="2:10" x14ac:dyDescent="0.25">
      <c r="B214" t="str">
        <f>IF(A214&lt;&gt;"",VLOOKUP(A214,Employees!A:Q,2,0),"")</f>
        <v/>
      </c>
      <c r="C214" t="str">
        <f>IF(A214&lt;&gt;"",VLOOKUP(A214,Employees!A:Q,3,0),"")</f>
        <v/>
      </c>
      <c r="D214" s="17" t="str">
        <f>IF(IF(A214&lt;&gt;"",VLOOKUP(A214,Employees!A:Q,4,0),"")="NULL","",IF(A214&lt;&gt;"",VLOOKUP(A214,Employees!A:Q,4,0),""))</f>
        <v/>
      </c>
      <c r="E214" s="17" t="str">
        <f>IF(IF(A214&lt;&gt;"",VLOOKUP(A214,Employees!A:Q,5,0),"")="NULL","",IF(A214&lt;&gt;"",VLOOKUP(A214,Employees!A:Q,5,0),""))</f>
        <v/>
      </c>
      <c r="F214" t="str">
        <f>IF(IF(A214&lt;&gt;"",VLOOKUP(A214,Employees!A:Q,9,0),"")="NULL","",IF(A214&lt;&gt;"",VLOOKUP(A214,Employees!A:Q,9,0),""))</f>
        <v/>
      </c>
      <c r="G214" t="str">
        <f>IF(IF(A214&lt;&gt;"",VLOOKUP(A214,Employees!A:Q,10,0),"")="NULL","",IF(A214&lt;&gt;"",VLOOKUP(A214,Employees!A:Q,10,0),""))</f>
        <v/>
      </c>
      <c r="H214" t="str">
        <f>IF(IF(A214&lt;&gt;"",VLOOKUP(A214,Employees!A:Q,11,0),"")="NULL","",IF(A214&lt;&gt;"",VLOOKUP(A214,Employees!A:Q,11,0),""))</f>
        <v/>
      </c>
      <c r="I214" s="25" t="str">
        <f>IFERROR(VALUE(IF(IF(A214&lt;&gt;"",VLOOKUP(A214,Employees!A:Q,12,0),"")="NULL","",IF(A214&lt;&gt;"",VLOOKUP(A214,Employees!A:Q,12,0),""))),"")</f>
        <v/>
      </c>
      <c r="J214" t="str">
        <f>IF(IF(A214&lt;&gt;"",VLOOKUP(A214,Employees!A:Q,14,0),"")="NULL","",IF(A214&lt;&gt;"",VLOOKUP(A214,Employees!A:Q,14,0),""))</f>
        <v/>
      </c>
    </row>
    <row r="215" spans="2:10" x14ac:dyDescent="0.25">
      <c r="B215" t="str">
        <f>IF(A215&lt;&gt;"",VLOOKUP(A215,Employees!A:Q,2,0),"")</f>
        <v/>
      </c>
      <c r="C215" t="str">
        <f>IF(A215&lt;&gt;"",VLOOKUP(A215,Employees!A:Q,3,0),"")</f>
        <v/>
      </c>
      <c r="D215" s="17" t="str">
        <f>IF(IF(A215&lt;&gt;"",VLOOKUP(A215,Employees!A:Q,4,0),"")="NULL","",IF(A215&lt;&gt;"",VLOOKUP(A215,Employees!A:Q,4,0),""))</f>
        <v/>
      </c>
      <c r="E215" s="17" t="str">
        <f>IF(IF(A215&lt;&gt;"",VLOOKUP(A215,Employees!A:Q,5,0),"")="NULL","",IF(A215&lt;&gt;"",VLOOKUP(A215,Employees!A:Q,5,0),""))</f>
        <v/>
      </c>
      <c r="F215" t="str">
        <f>IF(IF(A215&lt;&gt;"",VLOOKUP(A215,Employees!A:Q,9,0),"")="NULL","",IF(A215&lt;&gt;"",VLOOKUP(A215,Employees!A:Q,9,0),""))</f>
        <v/>
      </c>
      <c r="G215" t="str">
        <f>IF(IF(A215&lt;&gt;"",VLOOKUP(A215,Employees!A:Q,10,0),"")="NULL","",IF(A215&lt;&gt;"",VLOOKUP(A215,Employees!A:Q,10,0),""))</f>
        <v/>
      </c>
      <c r="H215" t="str">
        <f>IF(IF(A215&lt;&gt;"",VLOOKUP(A215,Employees!A:Q,11,0),"")="NULL","",IF(A215&lt;&gt;"",VLOOKUP(A215,Employees!A:Q,11,0),""))</f>
        <v/>
      </c>
      <c r="I215" s="25" t="str">
        <f>IFERROR(VALUE(IF(IF(A215&lt;&gt;"",VLOOKUP(A215,Employees!A:Q,12,0),"")="NULL","",IF(A215&lt;&gt;"",VLOOKUP(A215,Employees!A:Q,12,0),""))),"")</f>
        <v/>
      </c>
      <c r="J215" t="str">
        <f>IF(IF(A215&lt;&gt;"",VLOOKUP(A215,Employees!A:Q,14,0),"")="NULL","",IF(A215&lt;&gt;"",VLOOKUP(A215,Employees!A:Q,14,0),""))</f>
        <v/>
      </c>
    </row>
    <row r="216" spans="2:10" x14ac:dyDescent="0.25">
      <c r="B216" t="str">
        <f>IF(A216&lt;&gt;"",VLOOKUP(A216,Employees!A:Q,2,0),"")</f>
        <v/>
      </c>
      <c r="C216" t="str">
        <f>IF(A216&lt;&gt;"",VLOOKUP(A216,Employees!A:Q,3,0),"")</f>
        <v/>
      </c>
      <c r="D216" s="17" t="str">
        <f>IF(IF(A216&lt;&gt;"",VLOOKUP(A216,Employees!A:Q,4,0),"")="NULL","",IF(A216&lt;&gt;"",VLOOKUP(A216,Employees!A:Q,4,0),""))</f>
        <v/>
      </c>
      <c r="E216" s="17" t="str">
        <f>IF(IF(A216&lt;&gt;"",VLOOKUP(A216,Employees!A:Q,5,0),"")="NULL","",IF(A216&lt;&gt;"",VLOOKUP(A216,Employees!A:Q,5,0),""))</f>
        <v/>
      </c>
      <c r="F216" t="str">
        <f>IF(IF(A216&lt;&gt;"",VLOOKUP(A216,Employees!A:Q,9,0),"")="NULL","",IF(A216&lt;&gt;"",VLOOKUP(A216,Employees!A:Q,9,0),""))</f>
        <v/>
      </c>
      <c r="G216" t="str">
        <f>IF(IF(A216&lt;&gt;"",VLOOKUP(A216,Employees!A:Q,10,0),"")="NULL","",IF(A216&lt;&gt;"",VLOOKUP(A216,Employees!A:Q,10,0),""))</f>
        <v/>
      </c>
      <c r="H216" t="str">
        <f>IF(IF(A216&lt;&gt;"",VLOOKUP(A216,Employees!A:Q,11,0),"")="NULL","",IF(A216&lt;&gt;"",VLOOKUP(A216,Employees!A:Q,11,0),""))</f>
        <v/>
      </c>
      <c r="I216" s="25" t="str">
        <f>IFERROR(VALUE(IF(IF(A216&lt;&gt;"",VLOOKUP(A216,Employees!A:Q,12,0),"")="NULL","",IF(A216&lt;&gt;"",VLOOKUP(A216,Employees!A:Q,12,0),""))),"")</f>
        <v/>
      </c>
      <c r="J216" t="str">
        <f>IF(IF(A216&lt;&gt;"",VLOOKUP(A216,Employees!A:Q,14,0),"")="NULL","",IF(A216&lt;&gt;"",VLOOKUP(A216,Employees!A:Q,14,0),""))</f>
        <v/>
      </c>
    </row>
    <row r="217" spans="2:10" x14ac:dyDescent="0.25">
      <c r="B217" t="str">
        <f>IF(A217&lt;&gt;"",VLOOKUP(A217,Employees!A:Q,2,0),"")</f>
        <v/>
      </c>
      <c r="C217" t="str">
        <f>IF(A217&lt;&gt;"",VLOOKUP(A217,Employees!A:Q,3,0),"")</f>
        <v/>
      </c>
      <c r="D217" s="17" t="str">
        <f>IF(IF(A217&lt;&gt;"",VLOOKUP(A217,Employees!A:Q,4,0),"")="NULL","",IF(A217&lt;&gt;"",VLOOKUP(A217,Employees!A:Q,4,0),""))</f>
        <v/>
      </c>
      <c r="E217" s="17" t="str">
        <f>IF(IF(A217&lt;&gt;"",VLOOKUP(A217,Employees!A:Q,5,0),"")="NULL","",IF(A217&lt;&gt;"",VLOOKUP(A217,Employees!A:Q,5,0),""))</f>
        <v/>
      </c>
      <c r="F217" t="str">
        <f>IF(IF(A217&lt;&gt;"",VLOOKUP(A217,Employees!A:Q,9,0),"")="NULL","",IF(A217&lt;&gt;"",VLOOKUP(A217,Employees!A:Q,9,0),""))</f>
        <v/>
      </c>
      <c r="G217" t="str">
        <f>IF(IF(A217&lt;&gt;"",VLOOKUP(A217,Employees!A:Q,10,0),"")="NULL","",IF(A217&lt;&gt;"",VLOOKUP(A217,Employees!A:Q,10,0),""))</f>
        <v/>
      </c>
      <c r="H217" t="str">
        <f>IF(IF(A217&lt;&gt;"",VLOOKUP(A217,Employees!A:Q,11,0),"")="NULL","",IF(A217&lt;&gt;"",VLOOKUP(A217,Employees!A:Q,11,0),""))</f>
        <v/>
      </c>
      <c r="I217" s="25" t="str">
        <f>IFERROR(VALUE(IF(IF(A217&lt;&gt;"",VLOOKUP(A217,Employees!A:Q,12,0),"")="NULL","",IF(A217&lt;&gt;"",VLOOKUP(A217,Employees!A:Q,12,0),""))),"")</f>
        <v/>
      </c>
      <c r="J217" t="str">
        <f>IF(IF(A217&lt;&gt;"",VLOOKUP(A217,Employees!A:Q,14,0),"")="NULL","",IF(A217&lt;&gt;"",VLOOKUP(A217,Employees!A:Q,14,0),""))</f>
        <v/>
      </c>
    </row>
    <row r="218" spans="2:10" x14ac:dyDescent="0.25">
      <c r="B218" t="str">
        <f>IF(A218&lt;&gt;"",VLOOKUP(A218,Employees!A:Q,2,0),"")</f>
        <v/>
      </c>
      <c r="C218" t="str">
        <f>IF(A218&lt;&gt;"",VLOOKUP(A218,Employees!A:Q,3,0),"")</f>
        <v/>
      </c>
      <c r="D218" s="17" t="str">
        <f>IF(IF(A218&lt;&gt;"",VLOOKUP(A218,Employees!A:Q,4,0),"")="NULL","",IF(A218&lt;&gt;"",VLOOKUP(A218,Employees!A:Q,4,0),""))</f>
        <v/>
      </c>
      <c r="E218" s="17" t="str">
        <f>IF(IF(A218&lt;&gt;"",VLOOKUP(A218,Employees!A:Q,5,0),"")="NULL","",IF(A218&lt;&gt;"",VLOOKUP(A218,Employees!A:Q,5,0),""))</f>
        <v/>
      </c>
      <c r="F218" t="str">
        <f>IF(IF(A218&lt;&gt;"",VLOOKUP(A218,Employees!A:Q,9,0),"")="NULL","",IF(A218&lt;&gt;"",VLOOKUP(A218,Employees!A:Q,9,0),""))</f>
        <v/>
      </c>
      <c r="G218" t="str">
        <f>IF(IF(A218&lt;&gt;"",VLOOKUP(A218,Employees!A:Q,10,0),"")="NULL","",IF(A218&lt;&gt;"",VLOOKUP(A218,Employees!A:Q,10,0),""))</f>
        <v/>
      </c>
      <c r="H218" t="str">
        <f>IF(IF(A218&lt;&gt;"",VLOOKUP(A218,Employees!A:Q,11,0),"")="NULL","",IF(A218&lt;&gt;"",VLOOKUP(A218,Employees!A:Q,11,0),""))</f>
        <v/>
      </c>
      <c r="I218" s="25" t="str">
        <f>IFERROR(VALUE(IF(IF(A218&lt;&gt;"",VLOOKUP(A218,Employees!A:Q,12,0),"")="NULL","",IF(A218&lt;&gt;"",VLOOKUP(A218,Employees!A:Q,12,0),""))),"")</f>
        <v/>
      </c>
      <c r="J218" t="str">
        <f>IF(IF(A218&lt;&gt;"",VLOOKUP(A218,Employees!A:Q,14,0),"")="NULL","",IF(A218&lt;&gt;"",VLOOKUP(A218,Employees!A:Q,14,0),""))</f>
        <v/>
      </c>
    </row>
    <row r="219" spans="2:10" x14ac:dyDescent="0.25">
      <c r="B219" t="str">
        <f>IF(A219&lt;&gt;"",VLOOKUP(A219,Employees!A:Q,2,0),"")</f>
        <v/>
      </c>
      <c r="C219" t="str">
        <f>IF(A219&lt;&gt;"",VLOOKUP(A219,Employees!A:Q,3,0),"")</f>
        <v/>
      </c>
      <c r="D219" s="17" t="str">
        <f>IF(IF(A219&lt;&gt;"",VLOOKUP(A219,Employees!A:Q,4,0),"")="NULL","",IF(A219&lt;&gt;"",VLOOKUP(A219,Employees!A:Q,4,0),""))</f>
        <v/>
      </c>
      <c r="E219" s="17" t="str">
        <f>IF(IF(A219&lt;&gt;"",VLOOKUP(A219,Employees!A:Q,5,0),"")="NULL","",IF(A219&lt;&gt;"",VLOOKUP(A219,Employees!A:Q,5,0),""))</f>
        <v/>
      </c>
      <c r="F219" t="str">
        <f>IF(IF(A219&lt;&gt;"",VLOOKUP(A219,Employees!A:Q,9,0),"")="NULL","",IF(A219&lt;&gt;"",VLOOKUP(A219,Employees!A:Q,9,0),""))</f>
        <v/>
      </c>
      <c r="G219" t="str">
        <f>IF(IF(A219&lt;&gt;"",VLOOKUP(A219,Employees!A:Q,10,0),"")="NULL","",IF(A219&lt;&gt;"",VLOOKUP(A219,Employees!A:Q,10,0),""))</f>
        <v/>
      </c>
      <c r="H219" t="str">
        <f>IF(IF(A219&lt;&gt;"",VLOOKUP(A219,Employees!A:Q,11,0),"")="NULL","",IF(A219&lt;&gt;"",VLOOKUP(A219,Employees!A:Q,11,0),""))</f>
        <v/>
      </c>
      <c r="I219" s="25" t="str">
        <f>IFERROR(VALUE(IF(IF(A219&lt;&gt;"",VLOOKUP(A219,Employees!A:Q,12,0),"")="NULL","",IF(A219&lt;&gt;"",VLOOKUP(A219,Employees!A:Q,12,0),""))),"")</f>
        <v/>
      </c>
      <c r="J219" t="str">
        <f>IF(IF(A219&lt;&gt;"",VLOOKUP(A219,Employees!A:Q,14,0),"")="NULL","",IF(A219&lt;&gt;"",VLOOKUP(A219,Employees!A:Q,14,0),""))</f>
        <v/>
      </c>
    </row>
    <row r="220" spans="2:10" x14ac:dyDescent="0.25">
      <c r="B220" t="str">
        <f>IF(A220&lt;&gt;"",VLOOKUP(A220,Employees!A:Q,2,0),"")</f>
        <v/>
      </c>
      <c r="C220" t="str">
        <f>IF(A220&lt;&gt;"",VLOOKUP(A220,Employees!A:Q,3,0),"")</f>
        <v/>
      </c>
      <c r="D220" s="17" t="str">
        <f>IF(IF(A220&lt;&gt;"",VLOOKUP(A220,Employees!A:Q,4,0),"")="NULL","",IF(A220&lt;&gt;"",VLOOKUP(A220,Employees!A:Q,4,0),""))</f>
        <v/>
      </c>
      <c r="E220" s="17" t="str">
        <f>IF(IF(A220&lt;&gt;"",VLOOKUP(A220,Employees!A:Q,5,0),"")="NULL","",IF(A220&lt;&gt;"",VLOOKUP(A220,Employees!A:Q,5,0),""))</f>
        <v/>
      </c>
      <c r="F220" t="str">
        <f>IF(IF(A220&lt;&gt;"",VLOOKUP(A220,Employees!A:Q,9,0),"")="NULL","",IF(A220&lt;&gt;"",VLOOKUP(A220,Employees!A:Q,9,0),""))</f>
        <v/>
      </c>
      <c r="G220" t="str">
        <f>IF(IF(A220&lt;&gt;"",VLOOKUP(A220,Employees!A:Q,10,0),"")="NULL","",IF(A220&lt;&gt;"",VLOOKUP(A220,Employees!A:Q,10,0),""))</f>
        <v/>
      </c>
      <c r="H220" t="str">
        <f>IF(IF(A220&lt;&gt;"",VLOOKUP(A220,Employees!A:Q,11,0),"")="NULL","",IF(A220&lt;&gt;"",VLOOKUP(A220,Employees!A:Q,11,0),""))</f>
        <v/>
      </c>
      <c r="I220" s="25" t="str">
        <f>IFERROR(VALUE(IF(IF(A220&lt;&gt;"",VLOOKUP(A220,Employees!A:Q,12,0),"")="NULL","",IF(A220&lt;&gt;"",VLOOKUP(A220,Employees!A:Q,12,0),""))),"")</f>
        <v/>
      </c>
      <c r="J220" t="str">
        <f>IF(IF(A220&lt;&gt;"",VLOOKUP(A220,Employees!A:Q,14,0),"")="NULL","",IF(A220&lt;&gt;"",VLOOKUP(A220,Employees!A:Q,14,0),""))</f>
        <v/>
      </c>
    </row>
    <row r="221" spans="2:10" x14ac:dyDescent="0.25">
      <c r="B221" t="str">
        <f>IF(A221&lt;&gt;"",VLOOKUP(A221,Employees!A:Q,2,0),"")</f>
        <v/>
      </c>
      <c r="C221" t="str">
        <f>IF(A221&lt;&gt;"",VLOOKUP(A221,Employees!A:Q,3,0),"")</f>
        <v/>
      </c>
      <c r="D221" s="17" t="str">
        <f>IF(IF(A221&lt;&gt;"",VLOOKUP(A221,Employees!A:Q,4,0),"")="NULL","",IF(A221&lt;&gt;"",VLOOKUP(A221,Employees!A:Q,4,0),""))</f>
        <v/>
      </c>
      <c r="E221" s="17" t="str">
        <f>IF(IF(A221&lt;&gt;"",VLOOKUP(A221,Employees!A:Q,5,0),"")="NULL","",IF(A221&lt;&gt;"",VLOOKUP(A221,Employees!A:Q,5,0),""))</f>
        <v/>
      </c>
      <c r="F221" t="str">
        <f>IF(IF(A221&lt;&gt;"",VLOOKUP(A221,Employees!A:Q,9,0),"")="NULL","",IF(A221&lt;&gt;"",VLOOKUP(A221,Employees!A:Q,9,0),""))</f>
        <v/>
      </c>
      <c r="G221" t="str">
        <f>IF(IF(A221&lt;&gt;"",VLOOKUP(A221,Employees!A:Q,10,0),"")="NULL","",IF(A221&lt;&gt;"",VLOOKUP(A221,Employees!A:Q,10,0),""))</f>
        <v/>
      </c>
      <c r="H221" t="str">
        <f>IF(IF(A221&lt;&gt;"",VLOOKUP(A221,Employees!A:Q,11,0),"")="NULL","",IF(A221&lt;&gt;"",VLOOKUP(A221,Employees!A:Q,11,0),""))</f>
        <v/>
      </c>
      <c r="I221" s="25" t="str">
        <f>IFERROR(VALUE(IF(IF(A221&lt;&gt;"",VLOOKUP(A221,Employees!A:Q,12,0),"")="NULL","",IF(A221&lt;&gt;"",VLOOKUP(A221,Employees!A:Q,12,0),""))),"")</f>
        <v/>
      </c>
      <c r="J221" t="str">
        <f>IF(IF(A221&lt;&gt;"",VLOOKUP(A221,Employees!A:Q,14,0),"")="NULL","",IF(A221&lt;&gt;"",VLOOKUP(A221,Employees!A:Q,14,0),""))</f>
        <v/>
      </c>
    </row>
    <row r="222" spans="2:10" x14ac:dyDescent="0.25">
      <c r="B222" t="str">
        <f>IF(A222&lt;&gt;"",VLOOKUP(A222,Employees!A:Q,2,0),"")</f>
        <v/>
      </c>
      <c r="C222" t="str">
        <f>IF(A222&lt;&gt;"",VLOOKUP(A222,Employees!A:Q,3,0),"")</f>
        <v/>
      </c>
      <c r="D222" s="17" t="str">
        <f>IF(IF(A222&lt;&gt;"",VLOOKUP(A222,Employees!A:Q,4,0),"")="NULL","",IF(A222&lt;&gt;"",VLOOKUP(A222,Employees!A:Q,4,0),""))</f>
        <v/>
      </c>
      <c r="E222" s="17" t="str">
        <f>IF(IF(A222&lt;&gt;"",VLOOKUP(A222,Employees!A:Q,5,0),"")="NULL","",IF(A222&lt;&gt;"",VLOOKUP(A222,Employees!A:Q,5,0),""))</f>
        <v/>
      </c>
      <c r="F222" t="str">
        <f>IF(IF(A222&lt;&gt;"",VLOOKUP(A222,Employees!A:Q,9,0),"")="NULL","",IF(A222&lt;&gt;"",VLOOKUP(A222,Employees!A:Q,9,0),""))</f>
        <v/>
      </c>
      <c r="G222" t="str">
        <f>IF(IF(A222&lt;&gt;"",VLOOKUP(A222,Employees!A:Q,10,0),"")="NULL","",IF(A222&lt;&gt;"",VLOOKUP(A222,Employees!A:Q,10,0),""))</f>
        <v/>
      </c>
      <c r="H222" t="str">
        <f>IF(IF(A222&lt;&gt;"",VLOOKUP(A222,Employees!A:Q,11,0),"")="NULL","",IF(A222&lt;&gt;"",VLOOKUP(A222,Employees!A:Q,11,0),""))</f>
        <v/>
      </c>
      <c r="I222" s="25" t="str">
        <f>IFERROR(VALUE(IF(IF(A222&lt;&gt;"",VLOOKUP(A222,Employees!A:Q,12,0),"")="NULL","",IF(A222&lt;&gt;"",VLOOKUP(A222,Employees!A:Q,12,0),""))),"")</f>
        <v/>
      </c>
      <c r="J222" t="str">
        <f>IF(IF(A222&lt;&gt;"",VLOOKUP(A222,Employees!A:Q,14,0),"")="NULL","",IF(A222&lt;&gt;"",VLOOKUP(A222,Employees!A:Q,14,0),""))</f>
        <v/>
      </c>
    </row>
    <row r="223" spans="2:10" x14ac:dyDescent="0.25">
      <c r="B223" t="str">
        <f>IF(A223&lt;&gt;"",VLOOKUP(A223,Employees!A:Q,2,0),"")</f>
        <v/>
      </c>
      <c r="C223" t="str">
        <f>IF(A223&lt;&gt;"",VLOOKUP(A223,Employees!A:Q,3,0),"")</f>
        <v/>
      </c>
      <c r="D223" s="17" t="str">
        <f>IF(IF(A223&lt;&gt;"",VLOOKUP(A223,Employees!A:Q,4,0),"")="NULL","",IF(A223&lt;&gt;"",VLOOKUP(A223,Employees!A:Q,4,0),""))</f>
        <v/>
      </c>
      <c r="E223" s="17" t="str">
        <f>IF(IF(A223&lt;&gt;"",VLOOKUP(A223,Employees!A:Q,5,0),"")="NULL","",IF(A223&lt;&gt;"",VLOOKUP(A223,Employees!A:Q,5,0),""))</f>
        <v/>
      </c>
      <c r="F223" t="str">
        <f>IF(IF(A223&lt;&gt;"",VLOOKUP(A223,Employees!A:Q,9,0),"")="NULL","",IF(A223&lt;&gt;"",VLOOKUP(A223,Employees!A:Q,9,0),""))</f>
        <v/>
      </c>
      <c r="G223" t="str">
        <f>IF(IF(A223&lt;&gt;"",VLOOKUP(A223,Employees!A:Q,10,0),"")="NULL","",IF(A223&lt;&gt;"",VLOOKUP(A223,Employees!A:Q,10,0),""))</f>
        <v/>
      </c>
      <c r="H223" t="str">
        <f>IF(IF(A223&lt;&gt;"",VLOOKUP(A223,Employees!A:Q,11,0),"")="NULL","",IF(A223&lt;&gt;"",VLOOKUP(A223,Employees!A:Q,11,0),""))</f>
        <v/>
      </c>
      <c r="I223" s="25" t="str">
        <f>IFERROR(VALUE(IF(IF(A223&lt;&gt;"",VLOOKUP(A223,Employees!A:Q,12,0),"")="NULL","",IF(A223&lt;&gt;"",VLOOKUP(A223,Employees!A:Q,12,0),""))),"")</f>
        <v/>
      </c>
      <c r="J223" t="str">
        <f>IF(IF(A223&lt;&gt;"",VLOOKUP(A223,Employees!A:Q,14,0),"")="NULL","",IF(A223&lt;&gt;"",VLOOKUP(A223,Employees!A:Q,14,0),""))</f>
        <v/>
      </c>
    </row>
    <row r="224" spans="2:10" x14ac:dyDescent="0.25">
      <c r="B224" t="str">
        <f>IF(A224&lt;&gt;"",VLOOKUP(A224,Employees!A:Q,2,0),"")</f>
        <v/>
      </c>
      <c r="C224" t="str">
        <f>IF(A224&lt;&gt;"",VLOOKUP(A224,Employees!A:Q,3,0),"")</f>
        <v/>
      </c>
      <c r="D224" s="17" t="str">
        <f>IF(IF(A224&lt;&gt;"",VLOOKUP(A224,Employees!A:Q,4,0),"")="NULL","",IF(A224&lt;&gt;"",VLOOKUP(A224,Employees!A:Q,4,0),""))</f>
        <v/>
      </c>
      <c r="E224" s="17" t="str">
        <f>IF(IF(A224&lt;&gt;"",VLOOKUP(A224,Employees!A:Q,5,0),"")="NULL","",IF(A224&lt;&gt;"",VLOOKUP(A224,Employees!A:Q,5,0),""))</f>
        <v/>
      </c>
      <c r="F224" t="str">
        <f>IF(IF(A224&lt;&gt;"",VLOOKUP(A224,Employees!A:Q,9,0),"")="NULL","",IF(A224&lt;&gt;"",VLOOKUP(A224,Employees!A:Q,9,0),""))</f>
        <v/>
      </c>
      <c r="G224" t="str">
        <f>IF(IF(A224&lt;&gt;"",VLOOKUP(A224,Employees!A:Q,10,0),"")="NULL","",IF(A224&lt;&gt;"",VLOOKUP(A224,Employees!A:Q,10,0),""))</f>
        <v/>
      </c>
      <c r="H224" t="str">
        <f>IF(IF(A224&lt;&gt;"",VLOOKUP(A224,Employees!A:Q,11,0),"")="NULL","",IF(A224&lt;&gt;"",VLOOKUP(A224,Employees!A:Q,11,0),""))</f>
        <v/>
      </c>
      <c r="I224" s="25" t="str">
        <f>IFERROR(VALUE(IF(IF(A224&lt;&gt;"",VLOOKUP(A224,Employees!A:Q,12,0),"")="NULL","",IF(A224&lt;&gt;"",VLOOKUP(A224,Employees!A:Q,12,0),""))),"")</f>
        <v/>
      </c>
      <c r="J224" t="str">
        <f>IF(IF(A224&lt;&gt;"",VLOOKUP(A224,Employees!A:Q,14,0),"")="NULL","",IF(A224&lt;&gt;"",VLOOKUP(A224,Employees!A:Q,14,0),""))</f>
        <v/>
      </c>
    </row>
    <row r="225" spans="2:10" x14ac:dyDescent="0.25">
      <c r="B225" t="str">
        <f>IF(A225&lt;&gt;"",VLOOKUP(A225,Employees!A:Q,2,0),"")</f>
        <v/>
      </c>
      <c r="C225" t="str">
        <f>IF(A225&lt;&gt;"",VLOOKUP(A225,Employees!A:Q,3,0),"")</f>
        <v/>
      </c>
      <c r="D225" s="17" t="str">
        <f>IF(IF(A225&lt;&gt;"",VLOOKUP(A225,Employees!A:Q,4,0),"")="NULL","",IF(A225&lt;&gt;"",VLOOKUP(A225,Employees!A:Q,4,0),""))</f>
        <v/>
      </c>
      <c r="E225" s="17" t="str">
        <f>IF(IF(A225&lt;&gt;"",VLOOKUP(A225,Employees!A:Q,5,0),"")="NULL","",IF(A225&lt;&gt;"",VLOOKUP(A225,Employees!A:Q,5,0),""))</f>
        <v/>
      </c>
      <c r="F225" t="str">
        <f>IF(IF(A225&lt;&gt;"",VLOOKUP(A225,Employees!A:Q,9,0),"")="NULL","",IF(A225&lt;&gt;"",VLOOKUP(A225,Employees!A:Q,9,0),""))</f>
        <v/>
      </c>
      <c r="G225" t="str">
        <f>IF(IF(A225&lt;&gt;"",VLOOKUP(A225,Employees!A:Q,10,0),"")="NULL","",IF(A225&lt;&gt;"",VLOOKUP(A225,Employees!A:Q,10,0),""))</f>
        <v/>
      </c>
      <c r="H225" t="str">
        <f>IF(IF(A225&lt;&gt;"",VLOOKUP(A225,Employees!A:Q,11,0),"")="NULL","",IF(A225&lt;&gt;"",VLOOKUP(A225,Employees!A:Q,11,0),""))</f>
        <v/>
      </c>
      <c r="I225" s="25" t="str">
        <f>IFERROR(VALUE(IF(IF(A225&lt;&gt;"",VLOOKUP(A225,Employees!A:Q,12,0),"")="NULL","",IF(A225&lt;&gt;"",VLOOKUP(A225,Employees!A:Q,12,0),""))),"")</f>
        <v/>
      </c>
      <c r="J225" t="str">
        <f>IF(IF(A225&lt;&gt;"",VLOOKUP(A225,Employees!A:Q,14,0),"")="NULL","",IF(A225&lt;&gt;"",VLOOKUP(A225,Employees!A:Q,14,0),""))</f>
        <v/>
      </c>
    </row>
    <row r="226" spans="2:10" x14ac:dyDescent="0.25">
      <c r="B226" t="str">
        <f>IF(A226&lt;&gt;"",VLOOKUP(A226,Employees!A:Q,2,0),"")</f>
        <v/>
      </c>
      <c r="C226" t="str">
        <f>IF(A226&lt;&gt;"",VLOOKUP(A226,Employees!A:Q,3,0),"")</f>
        <v/>
      </c>
      <c r="D226" s="17" t="str">
        <f>IF(IF(A226&lt;&gt;"",VLOOKUP(A226,Employees!A:Q,4,0),"")="NULL","",IF(A226&lt;&gt;"",VLOOKUP(A226,Employees!A:Q,4,0),""))</f>
        <v/>
      </c>
      <c r="E226" s="17" t="str">
        <f>IF(IF(A226&lt;&gt;"",VLOOKUP(A226,Employees!A:Q,5,0),"")="NULL","",IF(A226&lt;&gt;"",VLOOKUP(A226,Employees!A:Q,5,0),""))</f>
        <v/>
      </c>
      <c r="F226" t="str">
        <f>IF(IF(A226&lt;&gt;"",VLOOKUP(A226,Employees!A:Q,9,0),"")="NULL","",IF(A226&lt;&gt;"",VLOOKUP(A226,Employees!A:Q,9,0),""))</f>
        <v/>
      </c>
      <c r="G226" t="str">
        <f>IF(IF(A226&lt;&gt;"",VLOOKUP(A226,Employees!A:Q,10,0),"")="NULL","",IF(A226&lt;&gt;"",VLOOKUP(A226,Employees!A:Q,10,0),""))</f>
        <v/>
      </c>
      <c r="H226" t="str">
        <f>IF(IF(A226&lt;&gt;"",VLOOKUP(A226,Employees!A:Q,11,0),"")="NULL","",IF(A226&lt;&gt;"",VLOOKUP(A226,Employees!A:Q,11,0),""))</f>
        <v/>
      </c>
      <c r="I226" s="25" t="str">
        <f>IFERROR(VALUE(IF(IF(A226&lt;&gt;"",VLOOKUP(A226,Employees!A:Q,12,0),"")="NULL","",IF(A226&lt;&gt;"",VLOOKUP(A226,Employees!A:Q,12,0),""))),"")</f>
        <v/>
      </c>
      <c r="J226" t="str">
        <f>IF(IF(A226&lt;&gt;"",VLOOKUP(A226,Employees!A:Q,14,0),"")="NULL","",IF(A226&lt;&gt;"",VLOOKUP(A226,Employees!A:Q,14,0),""))</f>
        <v/>
      </c>
    </row>
    <row r="227" spans="2:10" x14ac:dyDescent="0.25">
      <c r="B227" t="str">
        <f>IF(A227&lt;&gt;"",VLOOKUP(A227,Employees!A:Q,2,0),"")</f>
        <v/>
      </c>
      <c r="C227" t="str">
        <f>IF(A227&lt;&gt;"",VLOOKUP(A227,Employees!A:Q,3,0),"")</f>
        <v/>
      </c>
      <c r="D227" s="17" t="str">
        <f>IF(IF(A227&lt;&gt;"",VLOOKUP(A227,Employees!A:Q,4,0),"")="NULL","",IF(A227&lt;&gt;"",VLOOKUP(A227,Employees!A:Q,4,0),""))</f>
        <v/>
      </c>
      <c r="E227" s="17" t="str">
        <f>IF(IF(A227&lt;&gt;"",VLOOKUP(A227,Employees!A:Q,5,0),"")="NULL","",IF(A227&lt;&gt;"",VLOOKUP(A227,Employees!A:Q,5,0),""))</f>
        <v/>
      </c>
      <c r="F227" t="str">
        <f>IF(IF(A227&lt;&gt;"",VLOOKUP(A227,Employees!A:Q,9,0),"")="NULL","",IF(A227&lt;&gt;"",VLOOKUP(A227,Employees!A:Q,9,0),""))</f>
        <v/>
      </c>
      <c r="G227" t="str">
        <f>IF(IF(A227&lt;&gt;"",VLOOKUP(A227,Employees!A:Q,10,0),"")="NULL","",IF(A227&lt;&gt;"",VLOOKUP(A227,Employees!A:Q,10,0),""))</f>
        <v/>
      </c>
      <c r="H227" t="str">
        <f>IF(IF(A227&lt;&gt;"",VLOOKUP(A227,Employees!A:Q,11,0),"")="NULL","",IF(A227&lt;&gt;"",VLOOKUP(A227,Employees!A:Q,11,0),""))</f>
        <v/>
      </c>
      <c r="I227" s="25" t="str">
        <f>IFERROR(VALUE(IF(IF(A227&lt;&gt;"",VLOOKUP(A227,Employees!A:Q,12,0),"")="NULL","",IF(A227&lt;&gt;"",VLOOKUP(A227,Employees!A:Q,12,0),""))),"")</f>
        <v/>
      </c>
      <c r="J227" t="str">
        <f>IF(IF(A227&lt;&gt;"",VLOOKUP(A227,Employees!A:Q,14,0),"")="NULL","",IF(A227&lt;&gt;"",VLOOKUP(A227,Employees!A:Q,14,0),""))</f>
        <v/>
      </c>
    </row>
    <row r="228" spans="2:10" x14ac:dyDescent="0.25">
      <c r="B228" t="str">
        <f>IF(A228&lt;&gt;"",VLOOKUP(A228,Employees!A:Q,2,0),"")</f>
        <v/>
      </c>
      <c r="C228" t="str">
        <f>IF(A228&lt;&gt;"",VLOOKUP(A228,Employees!A:Q,3,0),"")</f>
        <v/>
      </c>
      <c r="D228" s="17" t="str">
        <f>IF(IF(A228&lt;&gt;"",VLOOKUP(A228,Employees!A:Q,4,0),"")="NULL","",IF(A228&lt;&gt;"",VLOOKUP(A228,Employees!A:Q,4,0),""))</f>
        <v/>
      </c>
      <c r="E228" s="17" t="str">
        <f>IF(IF(A228&lt;&gt;"",VLOOKUP(A228,Employees!A:Q,5,0),"")="NULL","",IF(A228&lt;&gt;"",VLOOKUP(A228,Employees!A:Q,5,0),""))</f>
        <v/>
      </c>
      <c r="F228" t="str">
        <f>IF(IF(A228&lt;&gt;"",VLOOKUP(A228,Employees!A:Q,9,0),"")="NULL","",IF(A228&lt;&gt;"",VLOOKUP(A228,Employees!A:Q,9,0),""))</f>
        <v/>
      </c>
      <c r="G228" t="str">
        <f>IF(IF(A228&lt;&gt;"",VLOOKUP(A228,Employees!A:Q,10,0),"")="NULL","",IF(A228&lt;&gt;"",VLOOKUP(A228,Employees!A:Q,10,0),""))</f>
        <v/>
      </c>
      <c r="H228" t="str">
        <f>IF(IF(A228&lt;&gt;"",VLOOKUP(A228,Employees!A:Q,11,0),"")="NULL","",IF(A228&lt;&gt;"",VLOOKUP(A228,Employees!A:Q,11,0),""))</f>
        <v/>
      </c>
      <c r="I228" s="25" t="str">
        <f>IFERROR(VALUE(IF(IF(A228&lt;&gt;"",VLOOKUP(A228,Employees!A:Q,12,0),"")="NULL","",IF(A228&lt;&gt;"",VLOOKUP(A228,Employees!A:Q,12,0),""))),"")</f>
        <v/>
      </c>
      <c r="J228" t="str">
        <f>IF(IF(A228&lt;&gt;"",VLOOKUP(A228,Employees!A:Q,14,0),"")="NULL","",IF(A228&lt;&gt;"",VLOOKUP(A228,Employees!A:Q,14,0),""))</f>
        <v/>
      </c>
    </row>
    <row r="229" spans="2:10" x14ac:dyDescent="0.25">
      <c r="B229" t="str">
        <f>IF(A229&lt;&gt;"",VLOOKUP(A229,Employees!A:Q,2,0),"")</f>
        <v/>
      </c>
      <c r="C229" t="str">
        <f>IF(A229&lt;&gt;"",VLOOKUP(A229,Employees!A:Q,3,0),"")</f>
        <v/>
      </c>
      <c r="D229" s="17" t="str">
        <f>IF(IF(A229&lt;&gt;"",VLOOKUP(A229,Employees!A:Q,4,0),"")="NULL","",IF(A229&lt;&gt;"",VLOOKUP(A229,Employees!A:Q,4,0),""))</f>
        <v/>
      </c>
      <c r="E229" s="17" t="str">
        <f>IF(IF(A229&lt;&gt;"",VLOOKUP(A229,Employees!A:Q,5,0),"")="NULL","",IF(A229&lt;&gt;"",VLOOKUP(A229,Employees!A:Q,5,0),""))</f>
        <v/>
      </c>
      <c r="F229" t="str">
        <f>IF(IF(A229&lt;&gt;"",VLOOKUP(A229,Employees!A:Q,9,0),"")="NULL","",IF(A229&lt;&gt;"",VLOOKUP(A229,Employees!A:Q,9,0),""))</f>
        <v/>
      </c>
      <c r="G229" t="str">
        <f>IF(IF(A229&lt;&gt;"",VLOOKUP(A229,Employees!A:Q,10,0),"")="NULL","",IF(A229&lt;&gt;"",VLOOKUP(A229,Employees!A:Q,10,0),""))</f>
        <v/>
      </c>
      <c r="H229" t="str">
        <f>IF(IF(A229&lt;&gt;"",VLOOKUP(A229,Employees!A:Q,11,0),"")="NULL","",IF(A229&lt;&gt;"",VLOOKUP(A229,Employees!A:Q,11,0),""))</f>
        <v/>
      </c>
      <c r="I229" s="25" t="str">
        <f>IFERROR(VALUE(IF(IF(A229&lt;&gt;"",VLOOKUP(A229,Employees!A:Q,12,0),"")="NULL","",IF(A229&lt;&gt;"",VLOOKUP(A229,Employees!A:Q,12,0),""))),"")</f>
        <v/>
      </c>
      <c r="J229" t="str">
        <f>IF(IF(A229&lt;&gt;"",VLOOKUP(A229,Employees!A:Q,14,0),"")="NULL","",IF(A229&lt;&gt;"",VLOOKUP(A229,Employees!A:Q,14,0),""))</f>
        <v/>
      </c>
    </row>
    <row r="230" spans="2:10" x14ac:dyDescent="0.25">
      <c r="B230" t="str">
        <f>IF(A230&lt;&gt;"",VLOOKUP(A230,Employees!A:Q,2,0),"")</f>
        <v/>
      </c>
      <c r="C230" t="str">
        <f>IF(A230&lt;&gt;"",VLOOKUP(A230,Employees!A:Q,3,0),"")</f>
        <v/>
      </c>
      <c r="D230" s="17" t="str">
        <f>IF(IF(A230&lt;&gt;"",VLOOKUP(A230,Employees!A:Q,4,0),"")="NULL","",IF(A230&lt;&gt;"",VLOOKUP(A230,Employees!A:Q,4,0),""))</f>
        <v/>
      </c>
      <c r="E230" s="17" t="str">
        <f>IF(IF(A230&lt;&gt;"",VLOOKUP(A230,Employees!A:Q,5,0),"")="NULL","",IF(A230&lt;&gt;"",VLOOKUP(A230,Employees!A:Q,5,0),""))</f>
        <v/>
      </c>
      <c r="F230" t="str">
        <f>IF(IF(A230&lt;&gt;"",VLOOKUP(A230,Employees!A:Q,9,0),"")="NULL","",IF(A230&lt;&gt;"",VLOOKUP(A230,Employees!A:Q,9,0),""))</f>
        <v/>
      </c>
      <c r="G230" t="str">
        <f>IF(IF(A230&lt;&gt;"",VLOOKUP(A230,Employees!A:Q,10,0),"")="NULL","",IF(A230&lt;&gt;"",VLOOKUP(A230,Employees!A:Q,10,0),""))</f>
        <v/>
      </c>
      <c r="H230" t="str">
        <f>IF(IF(A230&lt;&gt;"",VLOOKUP(A230,Employees!A:Q,11,0),"")="NULL","",IF(A230&lt;&gt;"",VLOOKUP(A230,Employees!A:Q,11,0),""))</f>
        <v/>
      </c>
      <c r="I230" s="25" t="str">
        <f>IFERROR(VALUE(IF(IF(A230&lt;&gt;"",VLOOKUP(A230,Employees!A:Q,12,0),"")="NULL","",IF(A230&lt;&gt;"",VLOOKUP(A230,Employees!A:Q,12,0),""))),"")</f>
        <v/>
      </c>
      <c r="J230" t="str">
        <f>IF(IF(A230&lt;&gt;"",VLOOKUP(A230,Employees!A:Q,14,0),"")="NULL","",IF(A230&lt;&gt;"",VLOOKUP(A230,Employees!A:Q,14,0),""))</f>
        <v/>
      </c>
    </row>
    <row r="231" spans="2:10" x14ac:dyDescent="0.25">
      <c r="B231" t="str">
        <f>IF(A231&lt;&gt;"",VLOOKUP(A231,Employees!A:Q,2,0),"")</f>
        <v/>
      </c>
      <c r="C231" t="str">
        <f>IF(A231&lt;&gt;"",VLOOKUP(A231,Employees!A:Q,3,0),"")</f>
        <v/>
      </c>
      <c r="D231" s="17" t="str">
        <f>IF(IF(A231&lt;&gt;"",VLOOKUP(A231,Employees!A:Q,4,0),"")="NULL","",IF(A231&lt;&gt;"",VLOOKUP(A231,Employees!A:Q,4,0),""))</f>
        <v/>
      </c>
      <c r="E231" s="17" t="str">
        <f>IF(IF(A231&lt;&gt;"",VLOOKUP(A231,Employees!A:Q,5,0),"")="NULL","",IF(A231&lt;&gt;"",VLOOKUP(A231,Employees!A:Q,5,0),""))</f>
        <v/>
      </c>
      <c r="F231" t="str">
        <f>IF(IF(A231&lt;&gt;"",VLOOKUP(A231,Employees!A:Q,9,0),"")="NULL","",IF(A231&lt;&gt;"",VLOOKUP(A231,Employees!A:Q,9,0),""))</f>
        <v/>
      </c>
      <c r="G231" t="str">
        <f>IF(IF(A231&lt;&gt;"",VLOOKUP(A231,Employees!A:Q,10,0),"")="NULL","",IF(A231&lt;&gt;"",VLOOKUP(A231,Employees!A:Q,10,0),""))</f>
        <v/>
      </c>
      <c r="H231" t="str">
        <f>IF(IF(A231&lt;&gt;"",VLOOKUP(A231,Employees!A:Q,11,0),"")="NULL","",IF(A231&lt;&gt;"",VLOOKUP(A231,Employees!A:Q,11,0),""))</f>
        <v/>
      </c>
      <c r="I231" s="25" t="str">
        <f>IFERROR(VALUE(IF(IF(A231&lt;&gt;"",VLOOKUP(A231,Employees!A:Q,12,0),"")="NULL","",IF(A231&lt;&gt;"",VLOOKUP(A231,Employees!A:Q,12,0),""))),"")</f>
        <v/>
      </c>
      <c r="J231" t="str">
        <f>IF(IF(A231&lt;&gt;"",VLOOKUP(A231,Employees!A:Q,14,0),"")="NULL","",IF(A231&lt;&gt;"",VLOOKUP(A231,Employees!A:Q,14,0),""))</f>
        <v/>
      </c>
    </row>
    <row r="232" spans="2:10" x14ac:dyDescent="0.25">
      <c r="B232" t="str">
        <f>IF(A232&lt;&gt;"",VLOOKUP(A232,Employees!A:Q,2,0),"")</f>
        <v/>
      </c>
      <c r="C232" t="str">
        <f>IF(A232&lt;&gt;"",VLOOKUP(A232,Employees!A:Q,3,0),"")</f>
        <v/>
      </c>
      <c r="D232" s="17" t="str">
        <f>IF(IF(A232&lt;&gt;"",VLOOKUP(A232,Employees!A:Q,4,0),"")="NULL","",IF(A232&lt;&gt;"",VLOOKUP(A232,Employees!A:Q,4,0),""))</f>
        <v/>
      </c>
      <c r="E232" s="17" t="str">
        <f>IF(IF(A232&lt;&gt;"",VLOOKUP(A232,Employees!A:Q,5,0),"")="NULL","",IF(A232&lt;&gt;"",VLOOKUP(A232,Employees!A:Q,5,0),""))</f>
        <v/>
      </c>
      <c r="F232" t="str">
        <f>IF(IF(A232&lt;&gt;"",VLOOKUP(A232,Employees!A:Q,9,0),"")="NULL","",IF(A232&lt;&gt;"",VLOOKUP(A232,Employees!A:Q,9,0),""))</f>
        <v/>
      </c>
      <c r="G232" t="str">
        <f>IF(IF(A232&lt;&gt;"",VLOOKUP(A232,Employees!A:Q,10,0),"")="NULL","",IF(A232&lt;&gt;"",VLOOKUP(A232,Employees!A:Q,10,0),""))</f>
        <v/>
      </c>
      <c r="H232" t="str">
        <f>IF(IF(A232&lt;&gt;"",VLOOKUP(A232,Employees!A:Q,11,0),"")="NULL","",IF(A232&lt;&gt;"",VLOOKUP(A232,Employees!A:Q,11,0),""))</f>
        <v/>
      </c>
      <c r="I232" s="25" t="str">
        <f>IFERROR(VALUE(IF(IF(A232&lt;&gt;"",VLOOKUP(A232,Employees!A:Q,12,0),"")="NULL","",IF(A232&lt;&gt;"",VLOOKUP(A232,Employees!A:Q,12,0),""))),"")</f>
        <v/>
      </c>
      <c r="J232" t="str">
        <f>IF(IF(A232&lt;&gt;"",VLOOKUP(A232,Employees!A:Q,14,0),"")="NULL","",IF(A232&lt;&gt;"",VLOOKUP(A232,Employees!A:Q,14,0),""))</f>
        <v/>
      </c>
    </row>
    <row r="233" spans="2:10" x14ac:dyDescent="0.25">
      <c r="B233" t="str">
        <f>IF(A233&lt;&gt;"",VLOOKUP(A233,Employees!A:Q,2,0),"")</f>
        <v/>
      </c>
      <c r="C233" t="str">
        <f>IF(A233&lt;&gt;"",VLOOKUP(A233,Employees!A:Q,3,0),"")</f>
        <v/>
      </c>
      <c r="D233" s="17" t="str">
        <f>IF(IF(A233&lt;&gt;"",VLOOKUP(A233,Employees!A:Q,4,0),"")="NULL","",IF(A233&lt;&gt;"",VLOOKUP(A233,Employees!A:Q,4,0),""))</f>
        <v/>
      </c>
      <c r="E233" s="17" t="str">
        <f>IF(IF(A233&lt;&gt;"",VLOOKUP(A233,Employees!A:Q,5,0),"")="NULL","",IF(A233&lt;&gt;"",VLOOKUP(A233,Employees!A:Q,5,0),""))</f>
        <v/>
      </c>
      <c r="F233" t="str">
        <f>IF(IF(A233&lt;&gt;"",VLOOKUP(A233,Employees!A:Q,9,0),"")="NULL","",IF(A233&lt;&gt;"",VLOOKUP(A233,Employees!A:Q,9,0),""))</f>
        <v/>
      </c>
      <c r="G233" t="str">
        <f>IF(IF(A233&lt;&gt;"",VLOOKUP(A233,Employees!A:Q,10,0),"")="NULL","",IF(A233&lt;&gt;"",VLOOKUP(A233,Employees!A:Q,10,0),""))</f>
        <v/>
      </c>
      <c r="H233" t="str">
        <f>IF(IF(A233&lt;&gt;"",VLOOKUP(A233,Employees!A:Q,11,0),"")="NULL","",IF(A233&lt;&gt;"",VLOOKUP(A233,Employees!A:Q,11,0),""))</f>
        <v/>
      </c>
      <c r="I233" s="25" t="str">
        <f>IFERROR(VALUE(IF(IF(A233&lt;&gt;"",VLOOKUP(A233,Employees!A:Q,12,0),"")="NULL","",IF(A233&lt;&gt;"",VLOOKUP(A233,Employees!A:Q,12,0),""))),"")</f>
        <v/>
      </c>
      <c r="J233" t="str">
        <f>IF(IF(A233&lt;&gt;"",VLOOKUP(A233,Employees!A:Q,14,0),"")="NULL","",IF(A233&lt;&gt;"",VLOOKUP(A233,Employees!A:Q,14,0),""))</f>
        <v/>
      </c>
    </row>
    <row r="234" spans="2:10" x14ac:dyDescent="0.25">
      <c r="B234" t="str">
        <f>IF(A234&lt;&gt;"",VLOOKUP(A234,Employees!A:Q,2,0),"")</f>
        <v/>
      </c>
      <c r="C234" t="str">
        <f>IF(A234&lt;&gt;"",VLOOKUP(A234,Employees!A:Q,3,0),"")</f>
        <v/>
      </c>
      <c r="D234" s="17" t="str">
        <f>IF(IF(A234&lt;&gt;"",VLOOKUP(A234,Employees!A:Q,4,0),"")="NULL","",IF(A234&lt;&gt;"",VLOOKUP(A234,Employees!A:Q,4,0),""))</f>
        <v/>
      </c>
      <c r="E234" s="17" t="str">
        <f>IF(IF(A234&lt;&gt;"",VLOOKUP(A234,Employees!A:Q,5,0),"")="NULL","",IF(A234&lt;&gt;"",VLOOKUP(A234,Employees!A:Q,5,0),""))</f>
        <v/>
      </c>
      <c r="F234" t="str">
        <f>IF(IF(A234&lt;&gt;"",VLOOKUP(A234,Employees!A:Q,9,0),"")="NULL","",IF(A234&lt;&gt;"",VLOOKUP(A234,Employees!A:Q,9,0),""))</f>
        <v/>
      </c>
      <c r="G234" t="str">
        <f>IF(IF(A234&lt;&gt;"",VLOOKUP(A234,Employees!A:Q,10,0),"")="NULL","",IF(A234&lt;&gt;"",VLOOKUP(A234,Employees!A:Q,10,0),""))</f>
        <v/>
      </c>
      <c r="H234" t="str">
        <f>IF(IF(A234&lt;&gt;"",VLOOKUP(A234,Employees!A:Q,11,0),"")="NULL","",IF(A234&lt;&gt;"",VLOOKUP(A234,Employees!A:Q,11,0),""))</f>
        <v/>
      </c>
      <c r="I234" s="25" t="str">
        <f>IFERROR(VALUE(IF(IF(A234&lt;&gt;"",VLOOKUP(A234,Employees!A:Q,12,0),"")="NULL","",IF(A234&lt;&gt;"",VLOOKUP(A234,Employees!A:Q,12,0),""))),"")</f>
        <v/>
      </c>
      <c r="J234" t="str">
        <f>IF(IF(A234&lt;&gt;"",VLOOKUP(A234,Employees!A:Q,14,0),"")="NULL","",IF(A234&lt;&gt;"",VLOOKUP(A234,Employees!A:Q,14,0),""))</f>
        <v/>
      </c>
    </row>
    <row r="235" spans="2:10" x14ac:dyDescent="0.25">
      <c r="B235" t="str">
        <f>IF(A235&lt;&gt;"",VLOOKUP(A235,Employees!A:Q,2,0),"")</f>
        <v/>
      </c>
      <c r="C235" t="str">
        <f>IF(A235&lt;&gt;"",VLOOKUP(A235,Employees!A:Q,3,0),"")</f>
        <v/>
      </c>
      <c r="D235" s="17" t="str">
        <f>IF(IF(A235&lt;&gt;"",VLOOKUP(A235,Employees!A:Q,4,0),"")="NULL","",IF(A235&lt;&gt;"",VLOOKUP(A235,Employees!A:Q,4,0),""))</f>
        <v/>
      </c>
      <c r="E235" s="17" t="str">
        <f>IF(IF(A235&lt;&gt;"",VLOOKUP(A235,Employees!A:Q,5,0),"")="NULL","",IF(A235&lt;&gt;"",VLOOKUP(A235,Employees!A:Q,5,0),""))</f>
        <v/>
      </c>
      <c r="F235" t="str">
        <f>IF(IF(A235&lt;&gt;"",VLOOKUP(A235,Employees!A:Q,9,0),"")="NULL","",IF(A235&lt;&gt;"",VLOOKUP(A235,Employees!A:Q,9,0),""))</f>
        <v/>
      </c>
      <c r="G235" t="str">
        <f>IF(IF(A235&lt;&gt;"",VLOOKUP(A235,Employees!A:Q,10,0),"")="NULL","",IF(A235&lt;&gt;"",VLOOKUP(A235,Employees!A:Q,10,0),""))</f>
        <v/>
      </c>
      <c r="H235" t="str">
        <f>IF(IF(A235&lt;&gt;"",VLOOKUP(A235,Employees!A:Q,11,0),"")="NULL","",IF(A235&lt;&gt;"",VLOOKUP(A235,Employees!A:Q,11,0),""))</f>
        <v/>
      </c>
      <c r="I235" s="25" t="str">
        <f>IFERROR(VALUE(IF(IF(A235&lt;&gt;"",VLOOKUP(A235,Employees!A:Q,12,0),"")="NULL","",IF(A235&lt;&gt;"",VLOOKUP(A235,Employees!A:Q,12,0),""))),"")</f>
        <v/>
      </c>
      <c r="J235" t="str">
        <f>IF(IF(A235&lt;&gt;"",VLOOKUP(A235,Employees!A:Q,14,0),"")="NULL","",IF(A235&lt;&gt;"",VLOOKUP(A235,Employees!A:Q,14,0),""))</f>
        <v/>
      </c>
    </row>
    <row r="236" spans="2:10" x14ac:dyDescent="0.25">
      <c r="B236" t="str">
        <f>IF(A236&lt;&gt;"",VLOOKUP(A236,Employees!A:Q,2,0),"")</f>
        <v/>
      </c>
      <c r="C236" t="str">
        <f>IF(A236&lt;&gt;"",VLOOKUP(A236,Employees!A:Q,3,0),"")</f>
        <v/>
      </c>
      <c r="D236" s="17" t="str">
        <f>IF(IF(A236&lt;&gt;"",VLOOKUP(A236,Employees!A:Q,4,0),"")="NULL","",IF(A236&lt;&gt;"",VLOOKUP(A236,Employees!A:Q,4,0),""))</f>
        <v/>
      </c>
      <c r="E236" s="17" t="str">
        <f>IF(IF(A236&lt;&gt;"",VLOOKUP(A236,Employees!A:Q,5,0),"")="NULL","",IF(A236&lt;&gt;"",VLOOKUP(A236,Employees!A:Q,5,0),""))</f>
        <v/>
      </c>
      <c r="F236" t="str">
        <f>IF(IF(A236&lt;&gt;"",VLOOKUP(A236,Employees!A:Q,9,0),"")="NULL","",IF(A236&lt;&gt;"",VLOOKUP(A236,Employees!A:Q,9,0),""))</f>
        <v/>
      </c>
      <c r="G236" t="str">
        <f>IF(IF(A236&lt;&gt;"",VLOOKUP(A236,Employees!A:Q,10,0),"")="NULL","",IF(A236&lt;&gt;"",VLOOKUP(A236,Employees!A:Q,10,0),""))</f>
        <v/>
      </c>
      <c r="H236" t="str">
        <f>IF(IF(A236&lt;&gt;"",VLOOKUP(A236,Employees!A:Q,11,0),"")="NULL","",IF(A236&lt;&gt;"",VLOOKUP(A236,Employees!A:Q,11,0),""))</f>
        <v/>
      </c>
      <c r="I236" s="25" t="str">
        <f>IFERROR(VALUE(IF(IF(A236&lt;&gt;"",VLOOKUP(A236,Employees!A:Q,12,0),"")="NULL","",IF(A236&lt;&gt;"",VLOOKUP(A236,Employees!A:Q,12,0),""))),"")</f>
        <v/>
      </c>
      <c r="J236" t="str">
        <f>IF(IF(A236&lt;&gt;"",VLOOKUP(A236,Employees!A:Q,14,0),"")="NULL","",IF(A236&lt;&gt;"",VLOOKUP(A236,Employees!A:Q,14,0),""))</f>
        <v/>
      </c>
    </row>
    <row r="237" spans="2:10" x14ac:dyDescent="0.25">
      <c r="B237" t="str">
        <f>IF(A237&lt;&gt;"",VLOOKUP(A237,Employees!A:Q,2,0),"")</f>
        <v/>
      </c>
      <c r="C237" t="str">
        <f>IF(A237&lt;&gt;"",VLOOKUP(A237,Employees!A:Q,3,0),"")</f>
        <v/>
      </c>
      <c r="D237" s="17" t="str">
        <f>IF(IF(A237&lt;&gt;"",VLOOKUP(A237,Employees!A:Q,4,0),"")="NULL","",IF(A237&lt;&gt;"",VLOOKUP(A237,Employees!A:Q,4,0),""))</f>
        <v/>
      </c>
      <c r="E237" s="17" t="str">
        <f>IF(IF(A237&lt;&gt;"",VLOOKUP(A237,Employees!A:Q,5,0),"")="NULL","",IF(A237&lt;&gt;"",VLOOKUP(A237,Employees!A:Q,5,0),""))</f>
        <v/>
      </c>
      <c r="F237" t="str">
        <f>IF(IF(A237&lt;&gt;"",VLOOKUP(A237,Employees!A:Q,9,0),"")="NULL","",IF(A237&lt;&gt;"",VLOOKUP(A237,Employees!A:Q,9,0),""))</f>
        <v/>
      </c>
      <c r="G237" t="str">
        <f>IF(IF(A237&lt;&gt;"",VLOOKUP(A237,Employees!A:Q,10,0),"")="NULL","",IF(A237&lt;&gt;"",VLOOKUP(A237,Employees!A:Q,10,0),""))</f>
        <v/>
      </c>
      <c r="H237" t="str">
        <f>IF(IF(A237&lt;&gt;"",VLOOKUP(A237,Employees!A:Q,11,0),"")="NULL","",IF(A237&lt;&gt;"",VLOOKUP(A237,Employees!A:Q,11,0),""))</f>
        <v/>
      </c>
      <c r="I237" s="25" t="str">
        <f>IFERROR(VALUE(IF(IF(A237&lt;&gt;"",VLOOKUP(A237,Employees!A:Q,12,0),"")="NULL","",IF(A237&lt;&gt;"",VLOOKUP(A237,Employees!A:Q,12,0),""))),"")</f>
        <v/>
      </c>
      <c r="J237" t="str">
        <f>IF(IF(A237&lt;&gt;"",VLOOKUP(A237,Employees!A:Q,14,0),"")="NULL","",IF(A237&lt;&gt;"",VLOOKUP(A237,Employees!A:Q,14,0),""))</f>
        <v/>
      </c>
    </row>
    <row r="238" spans="2:10" x14ac:dyDescent="0.25">
      <c r="B238" t="str">
        <f>IF(A238&lt;&gt;"",VLOOKUP(A238,Employees!A:Q,2,0),"")</f>
        <v/>
      </c>
      <c r="C238" t="str">
        <f>IF(A238&lt;&gt;"",VLOOKUP(A238,Employees!A:Q,3,0),"")</f>
        <v/>
      </c>
      <c r="D238" s="17" t="str">
        <f>IF(IF(A238&lt;&gt;"",VLOOKUP(A238,Employees!A:Q,4,0),"")="NULL","",IF(A238&lt;&gt;"",VLOOKUP(A238,Employees!A:Q,4,0),""))</f>
        <v/>
      </c>
      <c r="E238" s="17" t="str">
        <f>IF(IF(A238&lt;&gt;"",VLOOKUP(A238,Employees!A:Q,5,0),"")="NULL","",IF(A238&lt;&gt;"",VLOOKUP(A238,Employees!A:Q,5,0),""))</f>
        <v/>
      </c>
      <c r="F238" t="str">
        <f>IF(IF(A238&lt;&gt;"",VLOOKUP(A238,Employees!A:Q,9,0),"")="NULL","",IF(A238&lt;&gt;"",VLOOKUP(A238,Employees!A:Q,9,0),""))</f>
        <v/>
      </c>
      <c r="G238" t="str">
        <f>IF(IF(A238&lt;&gt;"",VLOOKUP(A238,Employees!A:Q,10,0),"")="NULL","",IF(A238&lt;&gt;"",VLOOKUP(A238,Employees!A:Q,10,0),""))</f>
        <v/>
      </c>
      <c r="H238" t="str">
        <f>IF(IF(A238&lt;&gt;"",VLOOKUP(A238,Employees!A:Q,11,0),"")="NULL","",IF(A238&lt;&gt;"",VLOOKUP(A238,Employees!A:Q,11,0),""))</f>
        <v/>
      </c>
      <c r="I238" s="25" t="str">
        <f>IFERROR(VALUE(IF(IF(A238&lt;&gt;"",VLOOKUP(A238,Employees!A:Q,12,0),"")="NULL","",IF(A238&lt;&gt;"",VLOOKUP(A238,Employees!A:Q,12,0),""))),"")</f>
        <v/>
      </c>
      <c r="J238" t="str">
        <f>IF(IF(A238&lt;&gt;"",VLOOKUP(A238,Employees!A:Q,14,0),"")="NULL","",IF(A238&lt;&gt;"",VLOOKUP(A238,Employees!A:Q,14,0),""))</f>
        <v/>
      </c>
    </row>
    <row r="239" spans="2:10" x14ac:dyDescent="0.25">
      <c r="B239" t="str">
        <f>IF(A239&lt;&gt;"",VLOOKUP(A239,Employees!A:Q,2,0),"")</f>
        <v/>
      </c>
      <c r="C239" t="str">
        <f>IF(A239&lt;&gt;"",VLOOKUP(A239,Employees!A:Q,3,0),"")</f>
        <v/>
      </c>
      <c r="D239" s="17" t="str">
        <f>IF(IF(A239&lt;&gt;"",VLOOKUP(A239,Employees!A:Q,4,0),"")="NULL","",IF(A239&lt;&gt;"",VLOOKUP(A239,Employees!A:Q,4,0),""))</f>
        <v/>
      </c>
      <c r="E239" s="17" t="str">
        <f>IF(IF(A239&lt;&gt;"",VLOOKUP(A239,Employees!A:Q,5,0),"")="NULL","",IF(A239&lt;&gt;"",VLOOKUP(A239,Employees!A:Q,5,0),""))</f>
        <v/>
      </c>
      <c r="F239" t="str">
        <f>IF(IF(A239&lt;&gt;"",VLOOKUP(A239,Employees!A:Q,9,0),"")="NULL","",IF(A239&lt;&gt;"",VLOOKUP(A239,Employees!A:Q,9,0),""))</f>
        <v/>
      </c>
      <c r="G239" t="str">
        <f>IF(IF(A239&lt;&gt;"",VLOOKUP(A239,Employees!A:Q,10,0),"")="NULL","",IF(A239&lt;&gt;"",VLOOKUP(A239,Employees!A:Q,10,0),""))</f>
        <v/>
      </c>
      <c r="H239" t="str">
        <f>IF(IF(A239&lt;&gt;"",VLOOKUP(A239,Employees!A:Q,11,0),"")="NULL","",IF(A239&lt;&gt;"",VLOOKUP(A239,Employees!A:Q,11,0),""))</f>
        <v/>
      </c>
      <c r="I239" s="25" t="str">
        <f>IFERROR(VALUE(IF(IF(A239&lt;&gt;"",VLOOKUP(A239,Employees!A:Q,12,0),"")="NULL","",IF(A239&lt;&gt;"",VLOOKUP(A239,Employees!A:Q,12,0),""))),"")</f>
        <v/>
      </c>
      <c r="J239" t="str">
        <f>IF(IF(A239&lt;&gt;"",VLOOKUP(A239,Employees!A:Q,14,0),"")="NULL","",IF(A239&lt;&gt;"",VLOOKUP(A239,Employees!A:Q,14,0),""))</f>
        <v/>
      </c>
    </row>
    <row r="240" spans="2:10" x14ac:dyDescent="0.25">
      <c r="B240" t="str">
        <f>IF(A240&lt;&gt;"",VLOOKUP(A240,Employees!A:Q,2,0),"")</f>
        <v/>
      </c>
      <c r="C240" t="str">
        <f>IF(A240&lt;&gt;"",VLOOKUP(A240,Employees!A:Q,3,0),"")</f>
        <v/>
      </c>
      <c r="D240" s="17" t="str">
        <f>IF(IF(A240&lt;&gt;"",VLOOKUP(A240,Employees!A:Q,4,0),"")="NULL","",IF(A240&lt;&gt;"",VLOOKUP(A240,Employees!A:Q,4,0),""))</f>
        <v/>
      </c>
      <c r="E240" s="17" t="str">
        <f>IF(IF(A240&lt;&gt;"",VLOOKUP(A240,Employees!A:Q,5,0),"")="NULL","",IF(A240&lt;&gt;"",VLOOKUP(A240,Employees!A:Q,5,0),""))</f>
        <v/>
      </c>
      <c r="F240" t="str">
        <f>IF(IF(A240&lt;&gt;"",VLOOKUP(A240,Employees!A:Q,9,0),"")="NULL","",IF(A240&lt;&gt;"",VLOOKUP(A240,Employees!A:Q,9,0),""))</f>
        <v/>
      </c>
      <c r="G240" t="str">
        <f>IF(IF(A240&lt;&gt;"",VLOOKUP(A240,Employees!A:Q,10,0),"")="NULL","",IF(A240&lt;&gt;"",VLOOKUP(A240,Employees!A:Q,10,0),""))</f>
        <v/>
      </c>
      <c r="H240" t="str">
        <f>IF(IF(A240&lt;&gt;"",VLOOKUP(A240,Employees!A:Q,11,0),"")="NULL","",IF(A240&lt;&gt;"",VLOOKUP(A240,Employees!A:Q,11,0),""))</f>
        <v/>
      </c>
      <c r="I240" s="25" t="str">
        <f>IFERROR(VALUE(IF(IF(A240&lt;&gt;"",VLOOKUP(A240,Employees!A:Q,12,0),"")="NULL","",IF(A240&lt;&gt;"",VLOOKUP(A240,Employees!A:Q,12,0),""))),"")</f>
        <v/>
      </c>
      <c r="J240" t="str">
        <f>IF(IF(A240&lt;&gt;"",VLOOKUP(A240,Employees!A:Q,14,0),"")="NULL","",IF(A240&lt;&gt;"",VLOOKUP(A240,Employees!A:Q,14,0),""))</f>
        <v/>
      </c>
    </row>
    <row r="241" spans="2:10" x14ac:dyDescent="0.25">
      <c r="B241" t="str">
        <f>IF(A241&lt;&gt;"",VLOOKUP(A241,Employees!A:Q,2,0),"")</f>
        <v/>
      </c>
      <c r="C241" t="str">
        <f>IF(A241&lt;&gt;"",VLOOKUP(A241,Employees!A:Q,3,0),"")</f>
        <v/>
      </c>
      <c r="D241" s="17" t="str">
        <f>IF(IF(A241&lt;&gt;"",VLOOKUP(A241,Employees!A:Q,4,0),"")="NULL","",IF(A241&lt;&gt;"",VLOOKUP(A241,Employees!A:Q,4,0),""))</f>
        <v/>
      </c>
      <c r="E241" s="17" t="str">
        <f>IF(IF(A241&lt;&gt;"",VLOOKUP(A241,Employees!A:Q,5,0),"")="NULL","",IF(A241&lt;&gt;"",VLOOKUP(A241,Employees!A:Q,5,0),""))</f>
        <v/>
      </c>
      <c r="F241" t="str">
        <f>IF(IF(A241&lt;&gt;"",VLOOKUP(A241,Employees!A:Q,9,0),"")="NULL","",IF(A241&lt;&gt;"",VLOOKUP(A241,Employees!A:Q,9,0),""))</f>
        <v/>
      </c>
      <c r="G241" t="str">
        <f>IF(IF(A241&lt;&gt;"",VLOOKUP(A241,Employees!A:Q,10,0),"")="NULL","",IF(A241&lt;&gt;"",VLOOKUP(A241,Employees!A:Q,10,0),""))</f>
        <v/>
      </c>
      <c r="H241" t="str">
        <f>IF(IF(A241&lt;&gt;"",VLOOKUP(A241,Employees!A:Q,11,0),"")="NULL","",IF(A241&lt;&gt;"",VLOOKUP(A241,Employees!A:Q,11,0),""))</f>
        <v/>
      </c>
      <c r="I241" s="25" t="str">
        <f>IFERROR(VALUE(IF(IF(A241&lt;&gt;"",VLOOKUP(A241,Employees!A:Q,12,0),"")="NULL","",IF(A241&lt;&gt;"",VLOOKUP(A241,Employees!A:Q,12,0),""))),"")</f>
        <v/>
      </c>
      <c r="J241" t="str">
        <f>IF(IF(A241&lt;&gt;"",VLOOKUP(A241,Employees!A:Q,14,0),"")="NULL","",IF(A241&lt;&gt;"",VLOOKUP(A241,Employees!A:Q,14,0),""))</f>
        <v/>
      </c>
    </row>
    <row r="242" spans="2:10" x14ac:dyDescent="0.25">
      <c r="B242" t="str">
        <f>IF(A242&lt;&gt;"",VLOOKUP(A242,Employees!A:Q,2,0),"")</f>
        <v/>
      </c>
      <c r="C242" t="str">
        <f>IF(A242&lt;&gt;"",VLOOKUP(A242,Employees!A:Q,3,0),"")</f>
        <v/>
      </c>
      <c r="D242" s="17" t="str">
        <f>IF(IF(A242&lt;&gt;"",VLOOKUP(A242,Employees!A:Q,4,0),"")="NULL","",IF(A242&lt;&gt;"",VLOOKUP(A242,Employees!A:Q,4,0),""))</f>
        <v/>
      </c>
      <c r="E242" s="17" t="str">
        <f>IF(IF(A242&lt;&gt;"",VLOOKUP(A242,Employees!A:Q,5,0),"")="NULL","",IF(A242&lt;&gt;"",VLOOKUP(A242,Employees!A:Q,5,0),""))</f>
        <v/>
      </c>
      <c r="F242" t="str">
        <f>IF(IF(A242&lt;&gt;"",VLOOKUP(A242,Employees!A:Q,9,0),"")="NULL","",IF(A242&lt;&gt;"",VLOOKUP(A242,Employees!A:Q,9,0),""))</f>
        <v/>
      </c>
      <c r="G242" t="str">
        <f>IF(IF(A242&lt;&gt;"",VLOOKUP(A242,Employees!A:Q,10,0),"")="NULL","",IF(A242&lt;&gt;"",VLOOKUP(A242,Employees!A:Q,10,0),""))</f>
        <v/>
      </c>
      <c r="H242" t="str">
        <f>IF(IF(A242&lt;&gt;"",VLOOKUP(A242,Employees!A:Q,11,0),"")="NULL","",IF(A242&lt;&gt;"",VLOOKUP(A242,Employees!A:Q,11,0),""))</f>
        <v/>
      </c>
      <c r="I242" s="25" t="str">
        <f>IFERROR(VALUE(IF(IF(A242&lt;&gt;"",VLOOKUP(A242,Employees!A:Q,12,0),"")="NULL","",IF(A242&lt;&gt;"",VLOOKUP(A242,Employees!A:Q,12,0),""))),"")</f>
        <v/>
      </c>
      <c r="J242" t="str">
        <f>IF(IF(A242&lt;&gt;"",VLOOKUP(A242,Employees!A:Q,14,0),"")="NULL","",IF(A242&lt;&gt;"",VLOOKUP(A242,Employees!A:Q,14,0),""))</f>
        <v/>
      </c>
    </row>
    <row r="243" spans="2:10" x14ac:dyDescent="0.25">
      <c r="B243" t="str">
        <f>IF(A243&lt;&gt;"",VLOOKUP(A243,Employees!A:Q,2,0),"")</f>
        <v/>
      </c>
      <c r="C243" t="str">
        <f>IF(A243&lt;&gt;"",VLOOKUP(A243,Employees!A:Q,3,0),"")</f>
        <v/>
      </c>
      <c r="D243" s="17" t="str">
        <f>IF(IF(A243&lt;&gt;"",VLOOKUP(A243,Employees!A:Q,4,0),"")="NULL","",IF(A243&lt;&gt;"",VLOOKUP(A243,Employees!A:Q,4,0),""))</f>
        <v/>
      </c>
      <c r="E243" s="17" t="str">
        <f>IF(IF(A243&lt;&gt;"",VLOOKUP(A243,Employees!A:Q,5,0),"")="NULL","",IF(A243&lt;&gt;"",VLOOKUP(A243,Employees!A:Q,5,0),""))</f>
        <v/>
      </c>
      <c r="F243" t="str">
        <f>IF(IF(A243&lt;&gt;"",VLOOKUP(A243,Employees!A:Q,9,0),"")="NULL","",IF(A243&lt;&gt;"",VLOOKUP(A243,Employees!A:Q,9,0),""))</f>
        <v/>
      </c>
      <c r="G243" t="str">
        <f>IF(IF(A243&lt;&gt;"",VLOOKUP(A243,Employees!A:Q,10,0),"")="NULL","",IF(A243&lt;&gt;"",VLOOKUP(A243,Employees!A:Q,10,0),""))</f>
        <v/>
      </c>
      <c r="H243" t="str">
        <f>IF(IF(A243&lt;&gt;"",VLOOKUP(A243,Employees!A:Q,11,0),"")="NULL","",IF(A243&lt;&gt;"",VLOOKUP(A243,Employees!A:Q,11,0),""))</f>
        <v/>
      </c>
      <c r="I243" s="25" t="str">
        <f>IFERROR(VALUE(IF(IF(A243&lt;&gt;"",VLOOKUP(A243,Employees!A:Q,12,0),"")="NULL","",IF(A243&lt;&gt;"",VLOOKUP(A243,Employees!A:Q,12,0),""))),"")</f>
        <v/>
      </c>
      <c r="J243" t="str">
        <f>IF(IF(A243&lt;&gt;"",VLOOKUP(A243,Employees!A:Q,14,0),"")="NULL","",IF(A243&lt;&gt;"",VLOOKUP(A243,Employees!A:Q,14,0),""))</f>
        <v/>
      </c>
    </row>
    <row r="244" spans="2:10" x14ac:dyDescent="0.25">
      <c r="B244" t="str">
        <f>IF(A244&lt;&gt;"",VLOOKUP(A244,Employees!A:Q,2,0),"")</f>
        <v/>
      </c>
      <c r="C244" t="str">
        <f>IF(A244&lt;&gt;"",VLOOKUP(A244,Employees!A:Q,3,0),"")</f>
        <v/>
      </c>
      <c r="D244" s="17" t="str">
        <f>IF(IF(A244&lt;&gt;"",VLOOKUP(A244,Employees!A:Q,4,0),"")="NULL","",IF(A244&lt;&gt;"",VLOOKUP(A244,Employees!A:Q,4,0),""))</f>
        <v/>
      </c>
      <c r="E244" s="17" t="str">
        <f>IF(IF(A244&lt;&gt;"",VLOOKUP(A244,Employees!A:Q,5,0),"")="NULL","",IF(A244&lt;&gt;"",VLOOKUP(A244,Employees!A:Q,5,0),""))</f>
        <v/>
      </c>
      <c r="F244" t="str">
        <f>IF(IF(A244&lt;&gt;"",VLOOKUP(A244,Employees!A:Q,9,0),"")="NULL","",IF(A244&lt;&gt;"",VLOOKUP(A244,Employees!A:Q,9,0),""))</f>
        <v/>
      </c>
      <c r="G244" t="str">
        <f>IF(IF(A244&lt;&gt;"",VLOOKUP(A244,Employees!A:Q,10,0),"")="NULL","",IF(A244&lt;&gt;"",VLOOKUP(A244,Employees!A:Q,10,0),""))</f>
        <v/>
      </c>
      <c r="H244" t="str">
        <f>IF(IF(A244&lt;&gt;"",VLOOKUP(A244,Employees!A:Q,11,0),"")="NULL","",IF(A244&lt;&gt;"",VLOOKUP(A244,Employees!A:Q,11,0),""))</f>
        <v/>
      </c>
      <c r="I244" s="25" t="str">
        <f>IFERROR(VALUE(IF(IF(A244&lt;&gt;"",VLOOKUP(A244,Employees!A:Q,12,0),"")="NULL","",IF(A244&lt;&gt;"",VLOOKUP(A244,Employees!A:Q,12,0),""))),"")</f>
        <v/>
      </c>
      <c r="J244" t="str">
        <f>IF(IF(A244&lt;&gt;"",VLOOKUP(A244,Employees!A:Q,14,0),"")="NULL","",IF(A244&lt;&gt;"",VLOOKUP(A244,Employees!A:Q,14,0),""))</f>
        <v/>
      </c>
    </row>
    <row r="245" spans="2:10" x14ac:dyDescent="0.25">
      <c r="B245" t="str">
        <f>IF(A245&lt;&gt;"",VLOOKUP(A245,Employees!A:Q,2,0),"")</f>
        <v/>
      </c>
      <c r="C245" t="str">
        <f>IF(A245&lt;&gt;"",VLOOKUP(A245,Employees!A:Q,3,0),"")</f>
        <v/>
      </c>
      <c r="D245" s="17" t="str">
        <f>IF(IF(A245&lt;&gt;"",VLOOKUP(A245,Employees!A:Q,4,0),"")="NULL","",IF(A245&lt;&gt;"",VLOOKUP(A245,Employees!A:Q,4,0),""))</f>
        <v/>
      </c>
      <c r="E245" s="17" t="str">
        <f>IF(IF(A245&lt;&gt;"",VLOOKUP(A245,Employees!A:Q,5,0),"")="NULL","",IF(A245&lt;&gt;"",VLOOKUP(A245,Employees!A:Q,5,0),""))</f>
        <v/>
      </c>
      <c r="F245" t="str">
        <f>IF(IF(A245&lt;&gt;"",VLOOKUP(A245,Employees!A:Q,9,0),"")="NULL","",IF(A245&lt;&gt;"",VLOOKUP(A245,Employees!A:Q,9,0),""))</f>
        <v/>
      </c>
      <c r="G245" t="str">
        <f>IF(IF(A245&lt;&gt;"",VLOOKUP(A245,Employees!A:Q,10,0),"")="NULL","",IF(A245&lt;&gt;"",VLOOKUP(A245,Employees!A:Q,10,0),""))</f>
        <v/>
      </c>
      <c r="H245" t="str">
        <f>IF(IF(A245&lt;&gt;"",VLOOKUP(A245,Employees!A:Q,11,0),"")="NULL","",IF(A245&lt;&gt;"",VLOOKUP(A245,Employees!A:Q,11,0),""))</f>
        <v/>
      </c>
      <c r="I245" s="25" t="str">
        <f>IFERROR(VALUE(IF(IF(A245&lt;&gt;"",VLOOKUP(A245,Employees!A:Q,12,0),"")="NULL","",IF(A245&lt;&gt;"",VLOOKUP(A245,Employees!A:Q,12,0),""))),"")</f>
        <v/>
      </c>
      <c r="J245" t="str">
        <f>IF(IF(A245&lt;&gt;"",VLOOKUP(A245,Employees!A:Q,14,0),"")="NULL","",IF(A245&lt;&gt;"",VLOOKUP(A245,Employees!A:Q,14,0),""))</f>
        <v/>
      </c>
    </row>
    <row r="246" spans="2:10" x14ac:dyDescent="0.25">
      <c r="B246" t="str">
        <f>IF(A246&lt;&gt;"",VLOOKUP(A246,Employees!A:Q,2,0),"")</f>
        <v/>
      </c>
      <c r="C246" t="str">
        <f>IF(A246&lt;&gt;"",VLOOKUP(A246,Employees!A:Q,3,0),"")</f>
        <v/>
      </c>
      <c r="D246" s="17" t="str">
        <f>IF(IF(A246&lt;&gt;"",VLOOKUP(A246,Employees!A:Q,4,0),"")="NULL","",IF(A246&lt;&gt;"",VLOOKUP(A246,Employees!A:Q,4,0),""))</f>
        <v/>
      </c>
      <c r="E246" s="17" t="str">
        <f>IF(IF(A246&lt;&gt;"",VLOOKUP(A246,Employees!A:Q,5,0),"")="NULL","",IF(A246&lt;&gt;"",VLOOKUP(A246,Employees!A:Q,5,0),""))</f>
        <v/>
      </c>
      <c r="F246" t="str">
        <f>IF(IF(A246&lt;&gt;"",VLOOKUP(A246,Employees!A:Q,9,0),"")="NULL","",IF(A246&lt;&gt;"",VLOOKUP(A246,Employees!A:Q,9,0),""))</f>
        <v/>
      </c>
      <c r="G246" t="str">
        <f>IF(IF(A246&lt;&gt;"",VLOOKUP(A246,Employees!A:Q,10,0),"")="NULL","",IF(A246&lt;&gt;"",VLOOKUP(A246,Employees!A:Q,10,0),""))</f>
        <v/>
      </c>
      <c r="H246" t="str">
        <f>IF(IF(A246&lt;&gt;"",VLOOKUP(A246,Employees!A:Q,11,0),"")="NULL","",IF(A246&lt;&gt;"",VLOOKUP(A246,Employees!A:Q,11,0),""))</f>
        <v/>
      </c>
      <c r="I246" s="25" t="str">
        <f>IFERROR(VALUE(IF(IF(A246&lt;&gt;"",VLOOKUP(A246,Employees!A:Q,12,0),"")="NULL","",IF(A246&lt;&gt;"",VLOOKUP(A246,Employees!A:Q,12,0),""))),"")</f>
        <v/>
      </c>
      <c r="J246" t="str">
        <f>IF(IF(A246&lt;&gt;"",VLOOKUP(A246,Employees!A:Q,14,0),"")="NULL","",IF(A246&lt;&gt;"",VLOOKUP(A246,Employees!A:Q,14,0),""))</f>
        <v/>
      </c>
    </row>
    <row r="247" spans="2:10" x14ac:dyDescent="0.25">
      <c r="B247" t="str">
        <f>IF(A247&lt;&gt;"",VLOOKUP(A247,Employees!A:Q,2,0),"")</f>
        <v/>
      </c>
      <c r="C247" t="str">
        <f>IF(A247&lt;&gt;"",VLOOKUP(A247,Employees!A:Q,3,0),"")</f>
        <v/>
      </c>
      <c r="D247" s="17" t="str">
        <f>IF(IF(A247&lt;&gt;"",VLOOKUP(A247,Employees!A:Q,4,0),"")="NULL","",IF(A247&lt;&gt;"",VLOOKUP(A247,Employees!A:Q,4,0),""))</f>
        <v/>
      </c>
      <c r="E247" s="17" t="str">
        <f>IF(IF(A247&lt;&gt;"",VLOOKUP(A247,Employees!A:Q,5,0),"")="NULL","",IF(A247&lt;&gt;"",VLOOKUP(A247,Employees!A:Q,5,0),""))</f>
        <v/>
      </c>
      <c r="F247" t="str">
        <f>IF(IF(A247&lt;&gt;"",VLOOKUP(A247,Employees!A:Q,9,0),"")="NULL","",IF(A247&lt;&gt;"",VLOOKUP(A247,Employees!A:Q,9,0),""))</f>
        <v/>
      </c>
      <c r="G247" t="str">
        <f>IF(IF(A247&lt;&gt;"",VLOOKUP(A247,Employees!A:Q,10,0),"")="NULL","",IF(A247&lt;&gt;"",VLOOKUP(A247,Employees!A:Q,10,0),""))</f>
        <v/>
      </c>
      <c r="H247" t="str">
        <f>IF(IF(A247&lt;&gt;"",VLOOKUP(A247,Employees!A:Q,11,0),"")="NULL","",IF(A247&lt;&gt;"",VLOOKUP(A247,Employees!A:Q,11,0),""))</f>
        <v/>
      </c>
      <c r="I247" s="25" t="str">
        <f>IFERROR(VALUE(IF(IF(A247&lt;&gt;"",VLOOKUP(A247,Employees!A:Q,12,0),"")="NULL","",IF(A247&lt;&gt;"",VLOOKUP(A247,Employees!A:Q,12,0),""))),"")</f>
        <v/>
      </c>
      <c r="J247" t="str">
        <f>IF(IF(A247&lt;&gt;"",VLOOKUP(A247,Employees!A:Q,14,0),"")="NULL","",IF(A247&lt;&gt;"",VLOOKUP(A247,Employees!A:Q,14,0),""))</f>
        <v/>
      </c>
    </row>
    <row r="248" spans="2:10" x14ac:dyDescent="0.25">
      <c r="B248" t="str">
        <f>IF(A248&lt;&gt;"",VLOOKUP(A248,Employees!A:Q,2,0),"")</f>
        <v/>
      </c>
      <c r="C248" t="str">
        <f>IF(A248&lt;&gt;"",VLOOKUP(A248,Employees!A:Q,3,0),"")</f>
        <v/>
      </c>
      <c r="D248" s="17" t="str">
        <f>IF(IF(A248&lt;&gt;"",VLOOKUP(A248,Employees!A:Q,4,0),"")="NULL","",IF(A248&lt;&gt;"",VLOOKUP(A248,Employees!A:Q,4,0),""))</f>
        <v/>
      </c>
      <c r="E248" s="17" t="str">
        <f>IF(IF(A248&lt;&gt;"",VLOOKUP(A248,Employees!A:Q,5,0),"")="NULL","",IF(A248&lt;&gt;"",VLOOKUP(A248,Employees!A:Q,5,0),""))</f>
        <v/>
      </c>
      <c r="F248" t="str">
        <f>IF(IF(A248&lt;&gt;"",VLOOKUP(A248,Employees!A:Q,9,0),"")="NULL","",IF(A248&lt;&gt;"",VLOOKUP(A248,Employees!A:Q,9,0),""))</f>
        <v/>
      </c>
      <c r="G248" t="str">
        <f>IF(IF(A248&lt;&gt;"",VLOOKUP(A248,Employees!A:Q,10,0),"")="NULL","",IF(A248&lt;&gt;"",VLOOKUP(A248,Employees!A:Q,10,0),""))</f>
        <v/>
      </c>
      <c r="H248" t="str">
        <f>IF(IF(A248&lt;&gt;"",VLOOKUP(A248,Employees!A:Q,11,0),"")="NULL","",IF(A248&lt;&gt;"",VLOOKUP(A248,Employees!A:Q,11,0),""))</f>
        <v/>
      </c>
      <c r="I248" s="25" t="str">
        <f>IFERROR(VALUE(IF(IF(A248&lt;&gt;"",VLOOKUP(A248,Employees!A:Q,12,0),"")="NULL","",IF(A248&lt;&gt;"",VLOOKUP(A248,Employees!A:Q,12,0),""))),"")</f>
        <v/>
      </c>
      <c r="J248" t="str">
        <f>IF(IF(A248&lt;&gt;"",VLOOKUP(A248,Employees!A:Q,14,0),"")="NULL","",IF(A248&lt;&gt;"",VLOOKUP(A248,Employees!A:Q,14,0),""))</f>
        <v/>
      </c>
    </row>
    <row r="249" spans="2:10" x14ac:dyDescent="0.25">
      <c r="B249" t="str">
        <f>IF(A249&lt;&gt;"",VLOOKUP(A249,Employees!A:Q,2,0),"")</f>
        <v/>
      </c>
      <c r="C249" t="str">
        <f>IF(A249&lt;&gt;"",VLOOKUP(A249,Employees!A:Q,3,0),"")</f>
        <v/>
      </c>
      <c r="D249" s="17" t="str">
        <f>IF(IF(A249&lt;&gt;"",VLOOKUP(A249,Employees!A:Q,4,0),"")="NULL","",IF(A249&lt;&gt;"",VLOOKUP(A249,Employees!A:Q,4,0),""))</f>
        <v/>
      </c>
      <c r="E249" s="17" t="str">
        <f>IF(IF(A249&lt;&gt;"",VLOOKUP(A249,Employees!A:Q,5,0),"")="NULL","",IF(A249&lt;&gt;"",VLOOKUP(A249,Employees!A:Q,5,0),""))</f>
        <v/>
      </c>
      <c r="F249" t="str">
        <f>IF(IF(A249&lt;&gt;"",VLOOKUP(A249,Employees!A:Q,9,0),"")="NULL","",IF(A249&lt;&gt;"",VLOOKUP(A249,Employees!A:Q,9,0),""))</f>
        <v/>
      </c>
      <c r="G249" t="str">
        <f>IF(IF(A249&lt;&gt;"",VLOOKUP(A249,Employees!A:Q,10,0),"")="NULL","",IF(A249&lt;&gt;"",VLOOKUP(A249,Employees!A:Q,10,0),""))</f>
        <v/>
      </c>
      <c r="H249" t="str">
        <f>IF(IF(A249&lt;&gt;"",VLOOKUP(A249,Employees!A:Q,11,0),"")="NULL","",IF(A249&lt;&gt;"",VLOOKUP(A249,Employees!A:Q,11,0),""))</f>
        <v/>
      </c>
      <c r="I249" s="25" t="str">
        <f>IFERROR(VALUE(IF(IF(A249&lt;&gt;"",VLOOKUP(A249,Employees!A:Q,12,0),"")="NULL","",IF(A249&lt;&gt;"",VLOOKUP(A249,Employees!A:Q,12,0),""))),"")</f>
        <v/>
      </c>
      <c r="J249" t="str">
        <f>IF(IF(A249&lt;&gt;"",VLOOKUP(A249,Employees!A:Q,14,0),"")="NULL","",IF(A249&lt;&gt;"",VLOOKUP(A249,Employees!A:Q,14,0),""))</f>
        <v/>
      </c>
    </row>
    <row r="250" spans="2:10" x14ac:dyDescent="0.25">
      <c r="B250" t="str">
        <f>IF(A250&lt;&gt;"",VLOOKUP(A250,Employees!A:Q,2,0),"")</f>
        <v/>
      </c>
      <c r="C250" t="str">
        <f>IF(A250&lt;&gt;"",VLOOKUP(A250,Employees!A:Q,3,0),"")</f>
        <v/>
      </c>
      <c r="D250" s="17" t="str">
        <f>IF(IF(A250&lt;&gt;"",VLOOKUP(A250,Employees!A:Q,4,0),"")="NULL","",IF(A250&lt;&gt;"",VLOOKUP(A250,Employees!A:Q,4,0),""))</f>
        <v/>
      </c>
      <c r="E250" s="17" t="str">
        <f>IF(IF(A250&lt;&gt;"",VLOOKUP(A250,Employees!A:Q,5,0),"")="NULL","",IF(A250&lt;&gt;"",VLOOKUP(A250,Employees!A:Q,5,0),""))</f>
        <v/>
      </c>
      <c r="F250" t="str">
        <f>IF(IF(A250&lt;&gt;"",VLOOKUP(A250,Employees!A:Q,9,0),"")="NULL","",IF(A250&lt;&gt;"",VLOOKUP(A250,Employees!A:Q,9,0),""))</f>
        <v/>
      </c>
      <c r="G250" t="str">
        <f>IF(IF(A250&lt;&gt;"",VLOOKUP(A250,Employees!A:Q,10,0),"")="NULL","",IF(A250&lt;&gt;"",VLOOKUP(A250,Employees!A:Q,10,0),""))</f>
        <v/>
      </c>
      <c r="H250" t="str">
        <f>IF(IF(A250&lt;&gt;"",VLOOKUP(A250,Employees!A:Q,11,0),"")="NULL","",IF(A250&lt;&gt;"",VLOOKUP(A250,Employees!A:Q,11,0),""))</f>
        <v/>
      </c>
      <c r="I250" s="25" t="str">
        <f>IFERROR(VALUE(IF(IF(A250&lt;&gt;"",VLOOKUP(A250,Employees!A:Q,12,0),"")="NULL","",IF(A250&lt;&gt;"",VLOOKUP(A250,Employees!A:Q,12,0),""))),"")</f>
        <v/>
      </c>
      <c r="J250" t="str">
        <f>IF(IF(A250&lt;&gt;"",VLOOKUP(A250,Employees!A:Q,14,0),"")="NULL","",IF(A250&lt;&gt;"",VLOOKUP(A250,Employees!A:Q,14,0),""))</f>
        <v/>
      </c>
    </row>
    <row r="251" spans="2:10" x14ac:dyDescent="0.25">
      <c r="B251" t="str">
        <f>IF(A251&lt;&gt;"",VLOOKUP(A251,Employees!A:Q,2,0),"")</f>
        <v/>
      </c>
      <c r="C251" t="str">
        <f>IF(A251&lt;&gt;"",VLOOKUP(A251,Employees!A:Q,3,0),"")</f>
        <v/>
      </c>
      <c r="D251" s="17" t="str">
        <f>IF(IF(A251&lt;&gt;"",VLOOKUP(A251,Employees!A:Q,4,0),"")="NULL","",IF(A251&lt;&gt;"",VLOOKUP(A251,Employees!A:Q,4,0),""))</f>
        <v/>
      </c>
      <c r="E251" s="17" t="str">
        <f>IF(IF(A251&lt;&gt;"",VLOOKUP(A251,Employees!A:Q,5,0),"")="NULL","",IF(A251&lt;&gt;"",VLOOKUP(A251,Employees!A:Q,5,0),""))</f>
        <v/>
      </c>
      <c r="F251" t="str">
        <f>IF(IF(A251&lt;&gt;"",VLOOKUP(A251,Employees!A:Q,9,0),"")="NULL","",IF(A251&lt;&gt;"",VLOOKUP(A251,Employees!A:Q,9,0),""))</f>
        <v/>
      </c>
      <c r="G251" t="str">
        <f>IF(IF(A251&lt;&gt;"",VLOOKUP(A251,Employees!A:Q,10,0),"")="NULL","",IF(A251&lt;&gt;"",VLOOKUP(A251,Employees!A:Q,10,0),""))</f>
        <v/>
      </c>
      <c r="H251" t="str">
        <f>IF(IF(A251&lt;&gt;"",VLOOKUP(A251,Employees!A:Q,11,0),"")="NULL","",IF(A251&lt;&gt;"",VLOOKUP(A251,Employees!A:Q,11,0),""))</f>
        <v/>
      </c>
      <c r="I251" s="25" t="str">
        <f>IFERROR(VALUE(IF(IF(A251&lt;&gt;"",VLOOKUP(A251,Employees!A:Q,12,0),"")="NULL","",IF(A251&lt;&gt;"",VLOOKUP(A251,Employees!A:Q,12,0),""))),"")</f>
        <v/>
      </c>
      <c r="J251" t="str">
        <f>IF(IF(A251&lt;&gt;"",VLOOKUP(A251,Employees!A:Q,14,0),"")="NULL","",IF(A251&lt;&gt;"",VLOOKUP(A251,Employees!A:Q,14,0),""))</f>
        <v/>
      </c>
    </row>
    <row r="252" spans="2:10" x14ac:dyDescent="0.25">
      <c r="B252" t="str">
        <f>IF(A252&lt;&gt;"",VLOOKUP(A252,Employees!A:Q,2,0),"")</f>
        <v/>
      </c>
      <c r="C252" t="str">
        <f>IF(A252&lt;&gt;"",VLOOKUP(A252,Employees!A:Q,3,0),"")</f>
        <v/>
      </c>
      <c r="D252" s="17" t="str">
        <f>IF(IF(A252&lt;&gt;"",VLOOKUP(A252,Employees!A:Q,4,0),"")="NULL","",IF(A252&lt;&gt;"",VLOOKUP(A252,Employees!A:Q,4,0),""))</f>
        <v/>
      </c>
      <c r="E252" s="17" t="str">
        <f>IF(IF(A252&lt;&gt;"",VLOOKUP(A252,Employees!A:Q,5,0),"")="NULL","",IF(A252&lt;&gt;"",VLOOKUP(A252,Employees!A:Q,5,0),""))</f>
        <v/>
      </c>
      <c r="F252" t="str">
        <f>IF(IF(A252&lt;&gt;"",VLOOKUP(A252,Employees!A:Q,9,0),"")="NULL","",IF(A252&lt;&gt;"",VLOOKUP(A252,Employees!A:Q,9,0),""))</f>
        <v/>
      </c>
      <c r="G252" t="str">
        <f>IF(IF(A252&lt;&gt;"",VLOOKUP(A252,Employees!A:Q,10,0),"")="NULL","",IF(A252&lt;&gt;"",VLOOKUP(A252,Employees!A:Q,10,0),""))</f>
        <v/>
      </c>
      <c r="H252" t="str">
        <f>IF(IF(A252&lt;&gt;"",VLOOKUP(A252,Employees!A:Q,11,0),"")="NULL","",IF(A252&lt;&gt;"",VLOOKUP(A252,Employees!A:Q,11,0),""))</f>
        <v/>
      </c>
      <c r="I252" s="25" t="str">
        <f>IFERROR(VALUE(IF(IF(A252&lt;&gt;"",VLOOKUP(A252,Employees!A:Q,12,0),"")="NULL","",IF(A252&lt;&gt;"",VLOOKUP(A252,Employees!A:Q,12,0),""))),"")</f>
        <v/>
      </c>
      <c r="J252" t="str">
        <f>IF(IF(A252&lt;&gt;"",VLOOKUP(A252,Employees!A:Q,14,0),"")="NULL","",IF(A252&lt;&gt;"",VLOOKUP(A252,Employees!A:Q,14,0),""))</f>
        <v/>
      </c>
    </row>
    <row r="253" spans="2:10" x14ac:dyDescent="0.25">
      <c r="B253" t="str">
        <f>IF(A253&lt;&gt;"",VLOOKUP(A253,Employees!A:Q,2,0),"")</f>
        <v/>
      </c>
      <c r="C253" t="str">
        <f>IF(A253&lt;&gt;"",VLOOKUP(A253,Employees!A:Q,3,0),"")</f>
        <v/>
      </c>
      <c r="D253" s="17" t="str">
        <f>IF(IF(A253&lt;&gt;"",VLOOKUP(A253,Employees!A:Q,4,0),"")="NULL","",IF(A253&lt;&gt;"",VLOOKUP(A253,Employees!A:Q,4,0),""))</f>
        <v/>
      </c>
      <c r="E253" s="17" t="str">
        <f>IF(IF(A253&lt;&gt;"",VLOOKUP(A253,Employees!A:Q,5,0),"")="NULL","",IF(A253&lt;&gt;"",VLOOKUP(A253,Employees!A:Q,5,0),""))</f>
        <v/>
      </c>
      <c r="F253" t="str">
        <f>IF(IF(A253&lt;&gt;"",VLOOKUP(A253,Employees!A:Q,9,0),"")="NULL","",IF(A253&lt;&gt;"",VLOOKUP(A253,Employees!A:Q,9,0),""))</f>
        <v/>
      </c>
      <c r="G253" t="str">
        <f>IF(IF(A253&lt;&gt;"",VLOOKUP(A253,Employees!A:Q,10,0),"")="NULL","",IF(A253&lt;&gt;"",VLOOKUP(A253,Employees!A:Q,10,0),""))</f>
        <v/>
      </c>
      <c r="H253" t="str">
        <f>IF(IF(A253&lt;&gt;"",VLOOKUP(A253,Employees!A:Q,11,0),"")="NULL","",IF(A253&lt;&gt;"",VLOOKUP(A253,Employees!A:Q,11,0),""))</f>
        <v/>
      </c>
      <c r="I253" s="25" t="str">
        <f>IFERROR(VALUE(IF(IF(A253&lt;&gt;"",VLOOKUP(A253,Employees!A:Q,12,0),"")="NULL","",IF(A253&lt;&gt;"",VLOOKUP(A253,Employees!A:Q,12,0),""))),"")</f>
        <v/>
      </c>
      <c r="J253" t="str">
        <f>IF(IF(A253&lt;&gt;"",VLOOKUP(A253,Employees!A:Q,14,0),"")="NULL","",IF(A253&lt;&gt;"",VLOOKUP(A253,Employees!A:Q,14,0),""))</f>
        <v/>
      </c>
    </row>
    <row r="254" spans="2:10" x14ac:dyDescent="0.25">
      <c r="B254" t="str">
        <f>IF(A254&lt;&gt;"",VLOOKUP(A254,Employees!A:Q,2,0),"")</f>
        <v/>
      </c>
      <c r="C254" t="str">
        <f>IF(A254&lt;&gt;"",VLOOKUP(A254,Employees!A:Q,3,0),"")</f>
        <v/>
      </c>
      <c r="D254" s="17" t="str">
        <f>IF(IF(A254&lt;&gt;"",VLOOKUP(A254,Employees!A:Q,4,0),"")="NULL","",IF(A254&lt;&gt;"",VLOOKUP(A254,Employees!A:Q,4,0),""))</f>
        <v/>
      </c>
      <c r="E254" s="17" t="str">
        <f>IF(IF(A254&lt;&gt;"",VLOOKUP(A254,Employees!A:Q,5,0),"")="NULL","",IF(A254&lt;&gt;"",VLOOKUP(A254,Employees!A:Q,5,0),""))</f>
        <v/>
      </c>
      <c r="F254" t="str">
        <f>IF(IF(A254&lt;&gt;"",VLOOKUP(A254,Employees!A:Q,9,0),"")="NULL","",IF(A254&lt;&gt;"",VLOOKUP(A254,Employees!A:Q,9,0),""))</f>
        <v/>
      </c>
      <c r="G254" t="str">
        <f>IF(IF(A254&lt;&gt;"",VLOOKUP(A254,Employees!A:Q,10,0),"")="NULL","",IF(A254&lt;&gt;"",VLOOKUP(A254,Employees!A:Q,10,0),""))</f>
        <v/>
      </c>
      <c r="H254" t="str">
        <f>IF(IF(A254&lt;&gt;"",VLOOKUP(A254,Employees!A:Q,11,0),"")="NULL","",IF(A254&lt;&gt;"",VLOOKUP(A254,Employees!A:Q,11,0),""))</f>
        <v/>
      </c>
      <c r="I254" s="25" t="str">
        <f>IFERROR(VALUE(IF(IF(A254&lt;&gt;"",VLOOKUP(A254,Employees!A:Q,12,0),"")="NULL","",IF(A254&lt;&gt;"",VLOOKUP(A254,Employees!A:Q,12,0),""))),"")</f>
        <v/>
      </c>
      <c r="J254" t="str">
        <f>IF(IF(A254&lt;&gt;"",VLOOKUP(A254,Employees!A:Q,14,0),"")="NULL","",IF(A254&lt;&gt;"",VLOOKUP(A254,Employees!A:Q,14,0),""))</f>
        <v/>
      </c>
    </row>
    <row r="255" spans="2:10" x14ac:dyDescent="0.25">
      <c r="B255" t="str">
        <f>IF(A255&lt;&gt;"",VLOOKUP(A255,Employees!A:Q,2,0),"")</f>
        <v/>
      </c>
      <c r="C255" t="str">
        <f>IF(A255&lt;&gt;"",VLOOKUP(A255,Employees!A:Q,3,0),"")</f>
        <v/>
      </c>
      <c r="D255" s="17" t="str">
        <f>IF(IF(A255&lt;&gt;"",VLOOKUP(A255,Employees!A:Q,4,0),"")="NULL","",IF(A255&lt;&gt;"",VLOOKUP(A255,Employees!A:Q,4,0),""))</f>
        <v/>
      </c>
      <c r="E255" s="17" t="str">
        <f>IF(IF(A255&lt;&gt;"",VLOOKUP(A255,Employees!A:Q,5,0),"")="NULL","",IF(A255&lt;&gt;"",VLOOKUP(A255,Employees!A:Q,5,0),""))</f>
        <v/>
      </c>
      <c r="F255" t="str">
        <f>IF(IF(A255&lt;&gt;"",VLOOKUP(A255,Employees!A:Q,9,0),"")="NULL","",IF(A255&lt;&gt;"",VLOOKUP(A255,Employees!A:Q,9,0),""))</f>
        <v/>
      </c>
      <c r="G255" t="str">
        <f>IF(IF(A255&lt;&gt;"",VLOOKUP(A255,Employees!A:Q,10,0),"")="NULL","",IF(A255&lt;&gt;"",VLOOKUP(A255,Employees!A:Q,10,0),""))</f>
        <v/>
      </c>
      <c r="H255" t="str">
        <f>IF(IF(A255&lt;&gt;"",VLOOKUP(A255,Employees!A:Q,11,0),"")="NULL","",IF(A255&lt;&gt;"",VLOOKUP(A255,Employees!A:Q,11,0),""))</f>
        <v/>
      </c>
      <c r="I255" s="25" t="str">
        <f>IFERROR(VALUE(IF(IF(A255&lt;&gt;"",VLOOKUP(A255,Employees!A:Q,12,0),"")="NULL","",IF(A255&lt;&gt;"",VLOOKUP(A255,Employees!A:Q,12,0),""))),"")</f>
        <v/>
      </c>
      <c r="J255" t="str">
        <f>IF(IF(A255&lt;&gt;"",VLOOKUP(A255,Employees!A:Q,14,0),"")="NULL","",IF(A255&lt;&gt;"",VLOOKUP(A255,Employees!A:Q,14,0),""))</f>
        <v/>
      </c>
    </row>
    <row r="256" spans="2:10" x14ac:dyDescent="0.25">
      <c r="B256" t="str">
        <f>IF(A256&lt;&gt;"",VLOOKUP(A256,Employees!A:Q,2,0),"")</f>
        <v/>
      </c>
      <c r="C256" t="str">
        <f>IF(A256&lt;&gt;"",VLOOKUP(A256,Employees!A:Q,3,0),"")</f>
        <v/>
      </c>
      <c r="D256" s="17" t="str">
        <f>IF(IF(A256&lt;&gt;"",VLOOKUP(A256,Employees!A:Q,4,0),"")="NULL","",IF(A256&lt;&gt;"",VLOOKUP(A256,Employees!A:Q,4,0),""))</f>
        <v/>
      </c>
      <c r="E256" s="17" t="str">
        <f>IF(IF(A256&lt;&gt;"",VLOOKUP(A256,Employees!A:Q,5,0),"")="NULL","",IF(A256&lt;&gt;"",VLOOKUP(A256,Employees!A:Q,5,0),""))</f>
        <v/>
      </c>
      <c r="F256" t="str">
        <f>IF(IF(A256&lt;&gt;"",VLOOKUP(A256,Employees!A:Q,9,0),"")="NULL","",IF(A256&lt;&gt;"",VLOOKUP(A256,Employees!A:Q,9,0),""))</f>
        <v/>
      </c>
      <c r="G256" t="str">
        <f>IF(IF(A256&lt;&gt;"",VLOOKUP(A256,Employees!A:Q,10,0),"")="NULL","",IF(A256&lt;&gt;"",VLOOKUP(A256,Employees!A:Q,10,0),""))</f>
        <v/>
      </c>
      <c r="H256" t="str">
        <f>IF(IF(A256&lt;&gt;"",VLOOKUP(A256,Employees!A:Q,11,0),"")="NULL","",IF(A256&lt;&gt;"",VLOOKUP(A256,Employees!A:Q,11,0),""))</f>
        <v/>
      </c>
      <c r="I256" s="25" t="str">
        <f>IFERROR(VALUE(IF(IF(A256&lt;&gt;"",VLOOKUP(A256,Employees!A:Q,12,0),"")="NULL","",IF(A256&lt;&gt;"",VLOOKUP(A256,Employees!A:Q,12,0),""))),"")</f>
        <v/>
      </c>
      <c r="J256" t="str">
        <f>IF(IF(A256&lt;&gt;"",VLOOKUP(A256,Employees!A:Q,14,0),"")="NULL","",IF(A256&lt;&gt;"",VLOOKUP(A256,Employees!A:Q,14,0),""))</f>
        <v/>
      </c>
    </row>
    <row r="257" spans="2:10" x14ac:dyDescent="0.25">
      <c r="B257" t="str">
        <f>IF(A257&lt;&gt;"",VLOOKUP(A257,Employees!A:Q,2,0),"")</f>
        <v/>
      </c>
      <c r="C257" t="str">
        <f>IF(A257&lt;&gt;"",VLOOKUP(A257,Employees!A:Q,3,0),"")</f>
        <v/>
      </c>
      <c r="D257" s="17" t="str">
        <f>IF(IF(A257&lt;&gt;"",VLOOKUP(A257,Employees!A:Q,4,0),"")="NULL","",IF(A257&lt;&gt;"",VLOOKUP(A257,Employees!A:Q,4,0),""))</f>
        <v/>
      </c>
      <c r="E257" s="17" t="str">
        <f>IF(IF(A257&lt;&gt;"",VLOOKUP(A257,Employees!A:Q,5,0),"")="NULL","",IF(A257&lt;&gt;"",VLOOKUP(A257,Employees!A:Q,5,0),""))</f>
        <v/>
      </c>
      <c r="F257" t="str">
        <f>IF(IF(A257&lt;&gt;"",VLOOKUP(A257,Employees!A:Q,9,0),"")="NULL","",IF(A257&lt;&gt;"",VLOOKUP(A257,Employees!A:Q,9,0),""))</f>
        <v/>
      </c>
      <c r="G257" t="str">
        <f>IF(IF(A257&lt;&gt;"",VLOOKUP(A257,Employees!A:Q,10,0),"")="NULL","",IF(A257&lt;&gt;"",VLOOKUP(A257,Employees!A:Q,10,0),""))</f>
        <v/>
      </c>
      <c r="H257" t="str">
        <f>IF(IF(A257&lt;&gt;"",VLOOKUP(A257,Employees!A:Q,11,0),"")="NULL","",IF(A257&lt;&gt;"",VLOOKUP(A257,Employees!A:Q,11,0),""))</f>
        <v/>
      </c>
      <c r="I257" s="25" t="str">
        <f>IFERROR(VALUE(IF(IF(A257&lt;&gt;"",VLOOKUP(A257,Employees!A:Q,12,0),"")="NULL","",IF(A257&lt;&gt;"",VLOOKUP(A257,Employees!A:Q,12,0),""))),"")</f>
        <v/>
      </c>
      <c r="J257" t="str">
        <f>IF(IF(A257&lt;&gt;"",VLOOKUP(A257,Employees!A:Q,14,0),"")="NULL","",IF(A257&lt;&gt;"",VLOOKUP(A257,Employees!A:Q,14,0),""))</f>
        <v/>
      </c>
    </row>
    <row r="258" spans="2:10" x14ac:dyDescent="0.25">
      <c r="B258" t="str">
        <f>IF(A258&lt;&gt;"",VLOOKUP(A258,Employees!A:Q,2,0),"")</f>
        <v/>
      </c>
      <c r="C258" t="str">
        <f>IF(A258&lt;&gt;"",VLOOKUP(A258,Employees!A:Q,3,0),"")</f>
        <v/>
      </c>
      <c r="D258" s="17" t="str">
        <f>IF(IF(A258&lt;&gt;"",VLOOKUP(A258,Employees!A:Q,4,0),"")="NULL","",IF(A258&lt;&gt;"",VLOOKUP(A258,Employees!A:Q,4,0),""))</f>
        <v/>
      </c>
      <c r="E258" s="17" t="str">
        <f>IF(IF(A258&lt;&gt;"",VLOOKUP(A258,Employees!A:Q,5,0),"")="NULL","",IF(A258&lt;&gt;"",VLOOKUP(A258,Employees!A:Q,5,0),""))</f>
        <v/>
      </c>
      <c r="F258" t="str">
        <f>IF(IF(A258&lt;&gt;"",VLOOKUP(A258,Employees!A:Q,9,0),"")="NULL","",IF(A258&lt;&gt;"",VLOOKUP(A258,Employees!A:Q,9,0),""))</f>
        <v/>
      </c>
      <c r="G258" t="str">
        <f>IF(IF(A258&lt;&gt;"",VLOOKUP(A258,Employees!A:Q,10,0),"")="NULL","",IF(A258&lt;&gt;"",VLOOKUP(A258,Employees!A:Q,10,0),""))</f>
        <v/>
      </c>
      <c r="H258" t="str">
        <f>IF(IF(A258&lt;&gt;"",VLOOKUP(A258,Employees!A:Q,11,0),"")="NULL","",IF(A258&lt;&gt;"",VLOOKUP(A258,Employees!A:Q,11,0),""))</f>
        <v/>
      </c>
      <c r="I258" s="25" t="str">
        <f>IFERROR(VALUE(IF(IF(A258&lt;&gt;"",VLOOKUP(A258,Employees!A:Q,12,0),"")="NULL","",IF(A258&lt;&gt;"",VLOOKUP(A258,Employees!A:Q,12,0),""))),"")</f>
        <v/>
      </c>
      <c r="J258" t="str">
        <f>IF(IF(A258&lt;&gt;"",VLOOKUP(A258,Employees!A:Q,14,0),"")="NULL","",IF(A258&lt;&gt;"",VLOOKUP(A258,Employees!A:Q,14,0),""))</f>
        <v/>
      </c>
    </row>
    <row r="259" spans="2:10" x14ac:dyDescent="0.25">
      <c r="B259" t="str">
        <f>IF(A259&lt;&gt;"",VLOOKUP(A259,Employees!A:Q,2,0),"")</f>
        <v/>
      </c>
      <c r="C259" t="str">
        <f>IF(A259&lt;&gt;"",VLOOKUP(A259,Employees!A:Q,3,0),"")</f>
        <v/>
      </c>
      <c r="D259" s="17" t="str">
        <f>IF(IF(A259&lt;&gt;"",VLOOKUP(A259,Employees!A:Q,4,0),"")="NULL","",IF(A259&lt;&gt;"",VLOOKUP(A259,Employees!A:Q,4,0),""))</f>
        <v/>
      </c>
      <c r="E259" s="17" t="str">
        <f>IF(IF(A259&lt;&gt;"",VLOOKUP(A259,Employees!A:Q,5,0),"")="NULL","",IF(A259&lt;&gt;"",VLOOKUP(A259,Employees!A:Q,5,0),""))</f>
        <v/>
      </c>
      <c r="F259" t="str">
        <f>IF(IF(A259&lt;&gt;"",VLOOKUP(A259,Employees!A:Q,9,0),"")="NULL","",IF(A259&lt;&gt;"",VLOOKUP(A259,Employees!A:Q,9,0),""))</f>
        <v/>
      </c>
      <c r="G259" t="str">
        <f>IF(IF(A259&lt;&gt;"",VLOOKUP(A259,Employees!A:Q,10,0),"")="NULL","",IF(A259&lt;&gt;"",VLOOKUP(A259,Employees!A:Q,10,0),""))</f>
        <v/>
      </c>
      <c r="H259" t="str">
        <f>IF(IF(A259&lt;&gt;"",VLOOKUP(A259,Employees!A:Q,11,0),"")="NULL","",IF(A259&lt;&gt;"",VLOOKUP(A259,Employees!A:Q,11,0),""))</f>
        <v/>
      </c>
      <c r="I259" s="25" t="str">
        <f>IFERROR(VALUE(IF(IF(A259&lt;&gt;"",VLOOKUP(A259,Employees!A:Q,12,0),"")="NULL","",IF(A259&lt;&gt;"",VLOOKUP(A259,Employees!A:Q,12,0),""))),"")</f>
        <v/>
      </c>
      <c r="J259" t="str">
        <f>IF(IF(A259&lt;&gt;"",VLOOKUP(A259,Employees!A:Q,14,0),"")="NULL","",IF(A259&lt;&gt;"",VLOOKUP(A259,Employees!A:Q,14,0),""))</f>
        <v/>
      </c>
    </row>
    <row r="260" spans="2:10" x14ac:dyDescent="0.25">
      <c r="B260" t="str">
        <f>IF(A260&lt;&gt;"",VLOOKUP(A260,Employees!A:Q,2,0),"")</f>
        <v/>
      </c>
      <c r="C260" t="str">
        <f>IF(A260&lt;&gt;"",VLOOKUP(A260,Employees!A:Q,3,0),"")</f>
        <v/>
      </c>
      <c r="D260" s="17" t="str">
        <f>IF(IF(A260&lt;&gt;"",VLOOKUP(A260,Employees!A:Q,4,0),"")="NULL","",IF(A260&lt;&gt;"",VLOOKUP(A260,Employees!A:Q,4,0),""))</f>
        <v/>
      </c>
      <c r="E260" s="17" t="str">
        <f>IF(IF(A260&lt;&gt;"",VLOOKUP(A260,Employees!A:Q,5,0),"")="NULL","",IF(A260&lt;&gt;"",VLOOKUP(A260,Employees!A:Q,5,0),""))</f>
        <v/>
      </c>
      <c r="F260" t="str">
        <f>IF(IF(A260&lt;&gt;"",VLOOKUP(A260,Employees!A:Q,9,0),"")="NULL","",IF(A260&lt;&gt;"",VLOOKUP(A260,Employees!A:Q,9,0),""))</f>
        <v/>
      </c>
      <c r="G260" t="str">
        <f>IF(IF(A260&lt;&gt;"",VLOOKUP(A260,Employees!A:Q,10,0),"")="NULL","",IF(A260&lt;&gt;"",VLOOKUP(A260,Employees!A:Q,10,0),""))</f>
        <v/>
      </c>
      <c r="H260" t="str">
        <f>IF(IF(A260&lt;&gt;"",VLOOKUP(A260,Employees!A:Q,11,0),"")="NULL","",IF(A260&lt;&gt;"",VLOOKUP(A260,Employees!A:Q,11,0),""))</f>
        <v/>
      </c>
      <c r="I260" s="25" t="str">
        <f>IFERROR(VALUE(IF(IF(A260&lt;&gt;"",VLOOKUP(A260,Employees!A:Q,12,0),"")="NULL","",IF(A260&lt;&gt;"",VLOOKUP(A260,Employees!A:Q,12,0),""))),"")</f>
        <v/>
      </c>
      <c r="J260" t="str">
        <f>IF(IF(A260&lt;&gt;"",VLOOKUP(A260,Employees!A:Q,14,0),"")="NULL","",IF(A260&lt;&gt;"",VLOOKUP(A260,Employees!A:Q,14,0),""))</f>
        <v/>
      </c>
    </row>
    <row r="261" spans="2:10" x14ac:dyDescent="0.25">
      <c r="B261" t="str">
        <f>IF(A261&lt;&gt;"",VLOOKUP(A261,Employees!A:Q,2,0),"")</f>
        <v/>
      </c>
      <c r="C261" t="str">
        <f>IF(A261&lt;&gt;"",VLOOKUP(A261,Employees!A:Q,3,0),"")</f>
        <v/>
      </c>
      <c r="D261" s="17" t="str">
        <f>IF(IF(A261&lt;&gt;"",VLOOKUP(A261,Employees!A:Q,4,0),"")="NULL","",IF(A261&lt;&gt;"",VLOOKUP(A261,Employees!A:Q,4,0),""))</f>
        <v/>
      </c>
      <c r="E261" s="17" t="str">
        <f>IF(IF(A261&lt;&gt;"",VLOOKUP(A261,Employees!A:Q,5,0),"")="NULL","",IF(A261&lt;&gt;"",VLOOKUP(A261,Employees!A:Q,5,0),""))</f>
        <v/>
      </c>
      <c r="F261" t="str">
        <f>IF(IF(A261&lt;&gt;"",VLOOKUP(A261,Employees!A:Q,9,0),"")="NULL","",IF(A261&lt;&gt;"",VLOOKUP(A261,Employees!A:Q,9,0),""))</f>
        <v/>
      </c>
      <c r="G261" t="str">
        <f>IF(IF(A261&lt;&gt;"",VLOOKUP(A261,Employees!A:Q,10,0),"")="NULL","",IF(A261&lt;&gt;"",VLOOKUP(A261,Employees!A:Q,10,0),""))</f>
        <v/>
      </c>
      <c r="H261" t="str">
        <f>IF(IF(A261&lt;&gt;"",VLOOKUP(A261,Employees!A:Q,11,0),"")="NULL","",IF(A261&lt;&gt;"",VLOOKUP(A261,Employees!A:Q,11,0),""))</f>
        <v/>
      </c>
      <c r="I261" s="25" t="str">
        <f>IFERROR(VALUE(IF(IF(A261&lt;&gt;"",VLOOKUP(A261,Employees!A:Q,12,0),"")="NULL","",IF(A261&lt;&gt;"",VLOOKUP(A261,Employees!A:Q,12,0),""))),"")</f>
        <v/>
      </c>
      <c r="J261" t="str">
        <f>IF(IF(A261&lt;&gt;"",VLOOKUP(A261,Employees!A:Q,14,0),"")="NULL","",IF(A261&lt;&gt;"",VLOOKUP(A261,Employees!A:Q,14,0),""))</f>
        <v/>
      </c>
    </row>
    <row r="262" spans="2:10" x14ac:dyDescent="0.25">
      <c r="B262" t="str">
        <f>IF(A262&lt;&gt;"",VLOOKUP(A262,Employees!A:Q,2,0),"")</f>
        <v/>
      </c>
      <c r="C262" t="str">
        <f>IF(A262&lt;&gt;"",VLOOKUP(A262,Employees!A:Q,3,0),"")</f>
        <v/>
      </c>
      <c r="D262" s="17" t="str">
        <f>IF(IF(A262&lt;&gt;"",VLOOKUP(A262,Employees!A:Q,4,0),"")="NULL","",IF(A262&lt;&gt;"",VLOOKUP(A262,Employees!A:Q,4,0),""))</f>
        <v/>
      </c>
      <c r="E262" s="17" t="str">
        <f>IF(IF(A262&lt;&gt;"",VLOOKUP(A262,Employees!A:Q,5,0),"")="NULL","",IF(A262&lt;&gt;"",VLOOKUP(A262,Employees!A:Q,5,0),""))</f>
        <v/>
      </c>
      <c r="F262" t="str">
        <f>IF(IF(A262&lt;&gt;"",VLOOKUP(A262,Employees!A:Q,9,0),"")="NULL","",IF(A262&lt;&gt;"",VLOOKUP(A262,Employees!A:Q,9,0),""))</f>
        <v/>
      </c>
      <c r="G262" t="str">
        <f>IF(IF(A262&lt;&gt;"",VLOOKUP(A262,Employees!A:Q,10,0),"")="NULL","",IF(A262&lt;&gt;"",VLOOKUP(A262,Employees!A:Q,10,0),""))</f>
        <v/>
      </c>
      <c r="H262" t="str">
        <f>IF(IF(A262&lt;&gt;"",VLOOKUP(A262,Employees!A:Q,11,0),"")="NULL","",IF(A262&lt;&gt;"",VLOOKUP(A262,Employees!A:Q,11,0),""))</f>
        <v/>
      </c>
      <c r="I262" s="25" t="str">
        <f>IFERROR(VALUE(IF(IF(A262&lt;&gt;"",VLOOKUP(A262,Employees!A:Q,12,0),"")="NULL","",IF(A262&lt;&gt;"",VLOOKUP(A262,Employees!A:Q,12,0),""))),"")</f>
        <v/>
      </c>
      <c r="J262" t="str">
        <f>IF(IF(A262&lt;&gt;"",VLOOKUP(A262,Employees!A:Q,14,0),"")="NULL","",IF(A262&lt;&gt;"",VLOOKUP(A262,Employees!A:Q,14,0),""))</f>
        <v/>
      </c>
    </row>
    <row r="263" spans="2:10" x14ac:dyDescent="0.25">
      <c r="B263" t="str">
        <f>IF(A263&lt;&gt;"",VLOOKUP(A263,Employees!A:Q,2,0),"")</f>
        <v/>
      </c>
      <c r="C263" t="str">
        <f>IF(A263&lt;&gt;"",VLOOKUP(A263,Employees!A:Q,3,0),"")</f>
        <v/>
      </c>
      <c r="D263" s="17" t="str">
        <f>IF(IF(A263&lt;&gt;"",VLOOKUP(A263,Employees!A:Q,4,0),"")="NULL","",IF(A263&lt;&gt;"",VLOOKUP(A263,Employees!A:Q,4,0),""))</f>
        <v/>
      </c>
      <c r="E263" s="17" t="str">
        <f>IF(IF(A263&lt;&gt;"",VLOOKUP(A263,Employees!A:Q,5,0),"")="NULL","",IF(A263&lt;&gt;"",VLOOKUP(A263,Employees!A:Q,5,0),""))</f>
        <v/>
      </c>
      <c r="F263" t="str">
        <f>IF(IF(A263&lt;&gt;"",VLOOKUP(A263,Employees!A:Q,9,0),"")="NULL","",IF(A263&lt;&gt;"",VLOOKUP(A263,Employees!A:Q,9,0),""))</f>
        <v/>
      </c>
      <c r="G263" t="str">
        <f>IF(IF(A263&lt;&gt;"",VLOOKUP(A263,Employees!A:Q,10,0),"")="NULL","",IF(A263&lt;&gt;"",VLOOKUP(A263,Employees!A:Q,10,0),""))</f>
        <v/>
      </c>
      <c r="H263" t="str">
        <f>IF(IF(A263&lt;&gt;"",VLOOKUP(A263,Employees!A:Q,11,0),"")="NULL","",IF(A263&lt;&gt;"",VLOOKUP(A263,Employees!A:Q,11,0),""))</f>
        <v/>
      </c>
      <c r="I263" s="25" t="str">
        <f>IFERROR(VALUE(IF(IF(A263&lt;&gt;"",VLOOKUP(A263,Employees!A:Q,12,0),"")="NULL","",IF(A263&lt;&gt;"",VLOOKUP(A263,Employees!A:Q,12,0),""))),"")</f>
        <v/>
      </c>
      <c r="J263" t="str">
        <f>IF(IF(A263&lt;&gt;"",VLOOKUP(A263,Employees!A:Q,14,0),"")="NULL","",IF(A263&lt;&gt;"",VLOOKUP(A263,Employees!A:Q,14,0),""))</f>
        <v/>
      </c>
    </row>
    <row r="264" spans="2:10" x14ac:dyDescent="0.25">
      <c r="B264" t="str">
        <f>IF(A264&lt;&gt;"",VLOOKUP(A264,Employees!A:Q,2,0),"")</f>
        <v/>
      </c>
      <c r="C264" t="str">
        <f>IF(A264&lt;&gt;"",VLOOKUP(A264,Employees!A:Q,3,0),"")</f>
        <v/>
      </c>
      <c r="D264" s="17" t="str">
        <f>IF(IF(A264&lt;&gt;"",VLOOKUP(A264,Employees!A:Q,4,0),"")="NULL","",IF(A264&lt;&gt;"",VLOOKUP(A264,Employees!A:Q,4,0),""))</f>
        <v/>
      </c>
      <c r="E264" s="17" t="str">
        <f>IF(IF(A264&lt;&gt;"",VLOOKUP(A264,Employees!A:Q,5,0),"")="NULL","",IF(A264&lt;&gt;"",VLOOKUP(A264,Employees!A:Q,5,0),""))</f>
        <v/>
      </c>
      <c r="F264" t="str">
        <f>IF(IF(A264&lt;&gt;"",VLOOKUP(A264,Employees!A:Q,9,0),"")="NULL","",IF(A264&lt;&gt;"",VLOOKUP(A264,Employees!A:Q,9,0),""))</f>
        <v/>
      </c>
      <c r="G264" t="str">
        <f>IF(IF(A264&lt;&gt;"",VLOOKUP(A264,Employees!A:Q,10,0),"")="NULL","",IF(A264&lt;&gt;"",VLOOKUP(A264,Employees!A:Q,10,0),""))</f>
        <v/>
      </c>
      <c r="H264" t="str">
        <f>IF(IF(A264&lt;&gt;"",VLOOKUP(A264,Employees!A:Q,11,0),"")="NULL","",IF(A264&lt;&gt;"",VLOOKUP(A264,Employees!A:Q,11,0),""))</f>
        <v/>
      </c>
      <c r="I264" s="25" t="str">
        <f>IFERROR(VALUE(IF(IF(A264&lt;&gt;"",VLOOKUP(A264,Employees!A:Q,12,0),"")="NULL","",IF(A264&lt;&gt;"",VLOOKUP(A264,Employees!A:Q,12,0),""))),"")</f>
        <v/>
      </c>
      <c r="J264" t="str">
        <f>IF(IF(A264&lt;&gt;"",VLOOKUP(A264,Employees!A:Q,14,0),"")="NULL","",IF(A264&lt;&gt;"",VLOOKUP(A264,Employees!A:Q,14,0),""))</f>
        <v/>
      </c>
    </row>
    <row r="265" spans="2:10" x14ac:dyDescent="0.25">
      <c r="B265" t="str">
        <f>IF(A265&lt;&gt;"",VLOOKUP(A265,Employees!A:Q,2,0),"")</f>
        <v/>
      </c>
      <c r="C265" t="str">
        <f>IF(A265&lt;&gt;"",VLOOKUP(A265,Employees!A:Q,3,0),"")</f>
        <v/>
      </c>
      <c r="D265" s="17" t="str">
        <f>IF(IF(A265&lt;&gt;"",VLOOKUP(A265,Employees!A:Q,4,0),"")="NULL","",IF(A265&lt;&gt;"",VLOOKUP(A265,Employees!A:Q,4,0),""))</f>
        <v/>
      </c>
      <c r="E265" s="17" t="str">
        <f>IF(IF(A265&lt;&gt;"",VLOOKUP(A265,Employees!A:Q,5,0),"")="NULL","",IF(A265&lt;&gt;"",VLOOKUP(A265,Employees!A:Q,5,0),""))</f>
        <v/>
      </c>
      <c r="F265" t="str">
        <f>IF(IF(A265&lt;&gt;"",VLOOKUP(A265,Employees!A:Q,9,0),"")="NULL","",IF(A265&lt;&gt;"",VLOOKUP(A265,Employees!A:Q,9,0),""))</f>
        <v/>
      </c>
      <c r="G265" t="str">
        <f>IF(IF(A265&lt;&gt;"",VLOOKUP(A265,Employees!A:Q,10,0),"")="NULL","",IF(A265&lt;&gt;"",VLOOKUP(A265,Employees!A:Q,10,0),""))</f>
        <v/>
      </c>
      <c r="H265" t="str">
        <f>IF(IF(A265&lt;&gt;"",VLOOKUP(A265,Employees!A:Q,11,0),"")="NULL","",IF(A265&lt;&gt;"",VLOOKUP(A265,Employees!A:Q,11,0),""))</f>
        <v/>
      </c>
      <c r="I265" s="25" t="str">
        <f>IFERROR(VALUE(IF(IF(A265&lt;&gt;"",VLOOKUP(A265,Employees!A:Q,12,0),"")="NULL","",IF(A265&lt;&gt;"",VLOOKUP(A265,Employees!A:Q,12,0),""))),"")</f>
        <v/>
      </c>
      <c r="J265" t="str">
        <f>IF(IF(A265&lt;&gt;"",VLOOKUP(A265,Employees!A:Q,14,0),"")="NULL","",IF(A265&lt;&gt;"",VLOOKUP(A265,Employees!A:Q,14,0),""))</f>
        <v/>
      </c>
    </row>
    <row r="266" spans="2:10" x14ac:dyDescent="0.25">
      <c r="B266" t="str">
        <f>IF(A266&lt;&gt;"",VLOOKUP(A266,Employees!A:Q,2,0),"")</f>
        <v/>
      </c>
      <c r="C266" t="str">
        <f>IF(A266&lt;&gt;"",VLOOKUP(A266,Employees!A:Q,3,0),"")</f>
        <v/>
      </c>
      <c r="D266" s="17" t="str">
        <f>IF(IF(A266&lt;&gt;"",VLOOKUP(A266,Employees!A:Q,4,0),"")="NULL","",IF(A266&lt;&gt;"",VLOOKUP(A266,Employees!A:Q,4,0),""))</f>
        <v/>
      </c>
      <c r="E266" s="17" t="str">
        <f>IF(IF(A266&lt;&gt;"",VLOOKUP(A266,Employees!A:Q,5,0),"")="NULL","",IF(A266&lt;&gt;"",VLOOKUP(A266,Employees!A:Q,5,0),""))</f>
        <v/>
      </c>
      <c r="F266" t="str">
        <f>IF(IF(A266&lt;&gt;"",VLOOKUP(A266,Employees!A:Q,9,0),"")="NULL","",IF(A266&lt;&gt;"",VLOOKUP(A266,Employees!A:Q,9,0),""))</f>
        <v/>
      </c>
      <c r="G266" t="str">
        <f>IF(IF(A266&lt;&gt;"",VLOOKUP(A266,Employees!A:Q,10,0),"")="NULL","",IF(A266&lt;&gt;"",VLOOKUP(A266,Employees!A:Q,10,0),""))</f>
        <v/>
      </c>
      <c r="H266" t="str">
        <f>IF(IF(A266&lt;&gt;"",VLOOKUP(A266,Employees!A:Q,11,0),"")="NULL","",IF(A266&lt;&gt;"",VLOOKUP(A266,Employees!A:Q,11,0),""))</f>
        <v/>
      </c>
      <c r="I266" s="25" t="str">
        <f>IFERROR(VALUE(IF(IF(A266&lt;&gt;"",VLOOKUP(A266,Employees!A:Q,12,0),"")="NULL","",IF(A266&lt;&gt;"",VLOOKUP(A266,Employees!A:Q,12,0),""))),"")</f>
        <v/>
      </c>
      <c r="J266" t="str">
        <f>IF(IF(A266&lt;&gt;"",VLOOKUP(A266,Employees!A:Q,14,0),"")="NULL","",IF(A266&lt;&gt;"",VLOOKUP(A266,Employees!A:Q,14,0),""))</f>
        <v/>
      </c>
    </row>
    <row r="267" spans="2:10" x14ac:dyDescent="0.25">
      <c r="B267" t="str">
        <f>IF(A267&lt;&gt;"",VLOOKUP(A267,Employees!A:Q,2,0),"")</f>
        <v/>
      </c>
      <c r="C267" t="str">
        <f>IF(A267&lt;&gt;"",VLOOKUP(A267,Employees!A:Q,3,0),"")</f>
        <v/>
      </c>
      <c r="D267" s="17" t="str">
        <f>IF(IF(A267&lt;&gt;"",VLOOKUP(A267,Employees!A:Q,4,0),"")="NULL","",IF(A267&lt;&gt;"",VLOOKUP(A267,Employees!A:Q,4,0),""))</f>
        <v/>
      </c>
      <c r="E267" s="17" t="str">
        <f>IF(IF(A267&lt;&gt;"",VLOOKUP(A267,Employees!A:Q,5,0),"")="NULL","",IF(A267&lt;&gt;"",VLOOKUP(A267,Employees!A:Q,5,0),""))</f>
        <v/>
      </c>
      <c r="F267" t="str">
        <f>IF(IF(A267&lt;&gt;"",VLOOKUP(A267,Employees!A:Q,9,0),"")="NULL","",IF(A267&lt;&gt;"",VLOOKUP(A267,Employees!A:Q,9,0),""))</f>
        <v/>
      </c>
      <c r="G267" t="str">
        <f>IF(IF(A267&lt;&gt;"",VLOOKUP(A267,Employees!A:Q,10,0),"")="NULL","",IF(A267&lt;&gt;"",VLOOKUP(A267,Employees!A:Q,10,0),""))</f>
        <v/>
      </c>
      <c r="H267" t="str">
        <f>IF(IF(A267&lt;&gt;"",VLOOKUP(A267,Employees!A:Q,11,0),"")="NULL","",IF(A267&lt;&gt;"",VLOOKUP(A267,Employees!A:Q,11,0),""))</f>
        <v/>
      </c>
      <c r="I267" s="25" t="str">
        <f>IFERROR(VALUE(IF(IF(A267&lt;&gt;"",VLOOKUP(A267,Employees!A:Q,12,0),"")="NULL","",IF(A267&lt;&gt;"",VLOOKUP(A267,Employees!A:Q,12,0),""))),"")</f>
        <v/>
      </c>
      <c r="J267" t="str">
        <f>IF(IF(A267&lt;&gt;"",VLOOKUP(A267,Employees!A:Q,14,0),"")="NULL","",IF(A267&lt;&gt;"",VLOOKUP(A267,Employees!A:Q,14,0),""))</f>
        <v/>
      </c>
    </row>
    <row r="268" spans="2:10" x14ac:dyDescent="0.25">
      <c r="B268" t="str">
        <f>IF(A268&lt;&gt;"",VLOOKUP(A268,Employees!A:Q,2,0),"")</f>
        <v/>
      </c>
      <c r="C268" t="str">
        <f>IF(A268&lt;&gt;"",VLOOKUP(A268,Employees!A:Q,3,0),"")</f>
        <v/>
      </c>
      <c r="D268" s="17" t="str">
        <f>IF(IF(A268&lt;&gt;"",VLOOKUP(A268,Employees!A:Q,4,0),"")="NULL","",IF(A268&lt;&gt;"",VLOOKUP(A268,Employees!A:Q,4,0),""))</f>
        <v/>
      </c>
      <c r="E268" s="17" t="str">
        <f>IF(IF(A268&lt;&gt;"",VLOOKUP(A268,Employees!A:Q,5,0),"")="NULL","",IF(A268&lt;&gt;"",VLOOKUP(A268,Employees!A:Q,5,0),""))</f>
        <v/>
      </c>
      <c r="F268" t="str">
        <f>IF(IF(A268&lt;&gt;"",VLOOKUP(A268,Employees!A:Q,9,0),"")="NULL","",IF(A268&lt;&gt;"",VLOOKUP(A268,Employees!A:Q,9,0),""))</f>
        <v/>
      </c>
      <c r="G268" t="str">
        <f>IF(IF(A268&lt;&gt;"",VLOOKUP(A268,Employees!A:Q,10,0),"")="NULL","",IF(A268&lt;&gt;"",VLOOKUP(A268,Employees!A:Q,10,0),""))</f>
        <v/>
      </c>
      <c r="H268" t="str">
        <f>IF(IF(A268&lt;&gt;"",VLOOKUP(A268,Employees!A:Q,11,0),"")="NULL","",IF(A268&lt;&gt;"",VLOOKUP(A268,Employees!A:Q,11,0),""))</f>
        <v/>
      </c>
      <c r="I268" s="25" t="str">
        <f>IFERROR(VALUE(IF(IF(A268&lt;&gt;"",VLOOKUP(A268,Employees!A:Q,12,0),"")="NULL","",IF(A268&lt;&gt;"",VLOOKUP(A268,Employees!A:Q,12,0),""))),"")</f>
        <v/>
      </c>
      <c r="J268" t="str">
        <f>IF(IF(A268&lt;&gt;"",VLOOKUP(A268,Employees!A:Q,14,0),"")="NULL","",IF(A268&lt;&gt;"",VLOOKUP(A268,Employees!A:Q,14,0),""))</f>
        <v/>
      </c>
    </row>
    <row r="269" spans="2:10" x14ac:dyDescent="0.25">
      <c r="B269" t="str">
        <f>IF(A269&lt;&gt;"",VLOOKUP(A269,Employees!A:Q,2,0),"")</f>
        <v/>
      </c>
      <c r="C269" t="str">
        <f>IF(A269&lt;&gt;"",VLOOKUP(A269,Employees!A:Q,3,0),"")</f>
        <v/>
      </c>
      <c r="D269" s="17" t="str">
        <f>IF(IF(A269&lt;&gt;"",VLOOKUP(A269,Employees!A:Q,4,0),"")="NULL","",IF(A269&lt;&gt;"",VLOOKUP(A269,Employees!A:Q,4,0),""))</f>
        <v/>
      </c>
      <c r="E269" s="17" t="str">
        <f>IF(IF(A269&lt;&gt;"",VLOOKUP(A269,Employees!A:Q,5,0),"")="NULL","",IF(A269&lt;&gt;"",VLOOKUP(A269,Employees!A:Q,5,0),""))</f>
        <v/>
      </c>
      <c r="F269" t="str">
        <f>IF(IF(A269&lt;&gt;"",VLOOKUP(A269,Employees!A:Q,9,0),"")="NULL","",IF(A269&lt;&gt;"",VLOOKUP(A269,Employees!A:Q,9,0),""))</f>
        <v/>
      </c>
      <c r="G269" t="str">
        <f>IF(IF(A269&lt;&gt;"",VLOOKUP(A269,Employees!A:Q,10,0),"")="NULL","",IF(A269&lt;&gt;"",VLOOKUP(A269,Employees!A:Q,10,0),""))</f>
        <v/>
      </c>
      <c r="H269" t="str">
        <f>IF(IF(A269&lt;&gt;"",VLOOKUP(A269,Employees!A:Q,11,0),"")="NULL","",IF(A269&lt;&gt;"",VLOOKUP(A269,Employees!A:Q,11,0),""))</f>
        <v/>
      </c>
      <c r="I269" s="25" t="str">
        <f>IFERROR(VALUE(IF(IF(A269&lt;&gt;"",VLOOKUP(A269,Employees!A:Q,12,0),"")="NULL","",IF(A269&lt;&gt;"",VLOOKUP(A269,Employees!A:Q,12,0),""))),"")</f>
        <v/>
      </c>
      <c r="J269" t="str">
        <f>IF(IF(A269&lt;&gt;"",VLOOKUP(A269,Employees!A:Q,14,0),"")="NULL","",IF(A269&lt;&gt;"",VLOOKUP(A269,Employees!A:Q,14,0),""))</f>
        <v/>
      </c>
    </row>
    <row r="270" spans="2:10" x14ac:dyDescent="0.25">
      <c r="B270" t="str">
        <f>IF(A270&lt;&gt;"",VLOOKUP(A270,Employees!A:Q,2,0),"")</f>
        <v/>
      </c>
      <c r="C270" t="str">
        <f>IF(A270&lt;&gt;"",VLOOKUP(A270,Employees!A:Q,3,0),"")</f>
        <v/>
      </c>
      <c r="D270" s="17" t="str">
        <f>IF(IF(A270&lt;&gt;"",VLOOKUP(A270,Employees!A:Q,4,0),"")="NULL","",IF(A270&lt;&gt;"",VLOOKUP(A270,Employees!A:Q,4,0),""))</f>
        <v/>
      </c>
      <c r="E270" s="17" t="str">
        <f>IF(IF(A270&lt;&gt;"",VLOOKUP(A270,Employees!A:Q,5,0),"")="NULL","",IF(A270&lt;&gt;"",VLOOKUP(A270,Employees!A:Q,5,0),""))</f>
        <v/>
      </c>
      <c r="F270" t="str">
        <f>IF(IF(A270&lt;&gt;"",VLOOKUP(A270,Employees!A:Q,9,0),"")="NULL","",IF(A270&lt;&gt;"",VLOOKUP(A270,Employees!A:Q,9,0),""))</f>
        <v/>
      </c>
      <c r="G270" t="str">
        <f>IF(IF(A270&lt;&gt;"",VLOOKUP(A270,Employees!A:Q,10,0),"")="NULL","",IF(A270&lt;&gt;"",VLOOKUP(A270,Employees!A:Q,10,0),""))</f>
        <v/>
      </c>
      <c r="H270" t="str">
        <f>IF(IF(A270&lt;&gt;"",VLOOKUP(A270,Employees!A:Q,11,0),"")="NULL","",IF(A270&lt;&gt;"",VLOOKUP(A270,Employees!A:Q,11,0),""))</f>
        <v/>
      </c>
      <c r="I270" s="25" t="str">
        <f>IFERROR(VALUE(IF(IF(A270&lt;&gt;"",VLOOKUP(A270,Employees!A:Q,12,0),"")="NULL","",IF(A270&lt;&gt;"",VLOOKUP(A270,Employees!A:Q,12,0),""))),"")</f>
        <v/>
      </c>
      <c r="J270" t="str">
        <f>IF(IF(A270&lt;&gt;"",VLOOKUP(A270,Employees!A:Q,14,0),"")="NULL","",IF(A270&lt;&gt;"",VLOOKUP(A270,Employees!A:Q,14,0),""))</f>
        <v/>
      </c>
    </row>
    <row r="271" spans="2:10" x14ac:dyDescent="0.25">
      <c r="B271" t="str">
        <f>IF(A271&lt;&gt;"",VLOOKUP(A271,Employees!A:Q,2,0),"")</f>
        <v/>
      </c>
      <c r="C271" t="str">
        <f>IF(A271&lt;&gt;"",VLOOKUP(A271,Employees!A:Q,3,0),"")</f>
        <v/>
      </c>
      <c r="D271" s="17" t="str">
        <f>IF(IF(A271&lt;&gt;"",VLOOKUP(A271,Employees!A:Q,4,0),"")="NULL","",IF(A271&lt;&gt;"",VLOOKUP(A271,Employees!A:Q,4,0),""))</f>
        <v/>
      </c>
      <c r="E271" s="17" t="str">
        <f>IF(IF(A271&lt;&gt;"",VLOOKUP(A271,Employees!A:Q,5,0),"")="NULL","",IF(A271&lt;&gt;"",VLOOKUP(A271,Employees!A:Q,5,0),""))</f>
        <v/>
      </c>
      <c r="F271" t="str">
        <f>IF(IF(A271&lt;&gt;"",VLOOKUP(A271,Employees!A:Q,9,0),"")="NULL","",IF(A271&lt;&gt;"",VLOOKUP(A271,Employees!A:Q,9,0),""))</f>
        <v/>
      </c>
      <c r="G271" t="str">
        <f>IF(IF(A271&lt;&gt;"",VLOOKUP(A271,Employees!A:Q,10,0),"")="NULL","",IF(A271&lt;&gt;"",VLOOKUP(A271,Employees!A:Q,10,0),""))</f>
        <v/>
      </c>
      <c r="H271" t="str">
        <f>IF(IF(A271&lt;&gt;"",VLOOKUP(A271,Employees!A:Q,11,0),"")="NULL","",IF(A271&lt;&gt;"",VLOOKUP(A271,Employees!A:Q,11,0),""))</f>
        <v/>
      </c>
      <c r="I271" s="25" t="str">
        <f>IFERROR(VALUE(IF(IF(A271&lt;&gt;"",VLOOKUP(A271,Employees!A:Q,12,0),"")="NULL","",IF(A271&lt;&gt;"",VLOOKUP(A271,Employees!A:Q,12,0),""))),"")</f>
        <v/>
      </c>
      <c r="J271" t="str">
        <f>IF(IF(A271&lt;&gt;"",VLOOKUP(A271,Employees!A:Q,14,0),"")="NULL","",IF(A271&lt;&gt;"",VLOOKUP(A271,Employees!A:Q,14,0),""))</f>
        <v/>
      </c>
    </row>
    <row r="272" spans="2:10" x14ac:dyDescent="0.25">
      <c r="B272" t="str">
        <f>IF(A272&lt;&gt;"",VLOOKUP(A272,Employees!A:Q,2,0),"")</f>
        <v/>
      </c>
      <c r="C272" t="str">
        <f>IF(A272&lt;&gt;"",VLOOKUP(A272,Employees!A:Q,3,0),"")</f>
        <v/>
      </c>
      <c r="D272" s="17" t="str">
        <f>IF(IF(A272&lt;&gt;"",VLOOKUP(A272,Employees!A:Q,4,0),"")="NULL","",IF(A272&lt;&gt;"",VLOOKUP(A272,Employees!A:Q,4,0),""))</f>
        <v/>
      </c>
      <c r="E272" s="17" t="str">
        <f>IF(IF(A272&lt;&gt;"",VLOOKUP(A272,Employees!A:Q,5,0),"")="NULL","",IF(A272&lt;&gt;"",VLOOKUP(A272,Employees!A:Q,5,0),""))</f>
        <v/>
      </c>
      <c r="F272" t="str">
        <f>IF(IF(A272&lt;&gt;"",VLOOKUP(A272,Employees!A:Q,9,0),"")="NULL","",IF(A272&lt;&gt;"",VLOOKUP(A272,Employees!A:Q,9,0),""))</f>
        <v/>
      </c>
      <c r="G272" t="str">
        <f>IF(IF(A272&lt;&gt;"",VLOOKUP(A272,Employees!A:Q,10,0),"")="NULL","",IF(A272&lt;&gt;"",VLOOKUP(A272,Employees!A:Q,10,0),""))</f>
        <v/>
      </c>
      <c r="H272" t="str">
        <f>IF(IF(A272&lt;&gt;"",VLOOKUP(A272,Employees!A:Q,11,0),"")="NULL","",IF(A272&lt;&gt;"",VLOOKUP(A272,Employees!A:Q,11,0),""))</f>
        <v/>
      </c>
      <c r="I272" s="25" t="str">
        <f>IFERROR(VALUE(IF(IF(A272&lt;&gt;"",VLOOKUP(A272,Employees!A:Q,12,0),"")="NULL","",IF(A272&lt;&gt;"",VLOOKUP(A272,Employees!A:Q,12,0),""))),"")</f>
        <v/>
      </c>
      <c r="J272" t="str">
        <f>IF(IF(A272&lt;&gt;"",VLOOKUP(A272,Employees!A:Q,14,0),"")="NULL","",IF(A272&lt;&gt;"",VLOOKUP(A272,Employees!A:Q,14,0),""))</f>
        <v/>
      </c>
    </row>
    <row r="273" spans="2:10" x14ac:dyDescent="0.25">
      <c r="B273" t="str">
        <f>IF(A273&lt;&gt;"",VLOOKUP(A273,Employees!A:Q,2,0),"")</f>
        <v/>
      </c>
      <c r="C273" t="str">
        <f>IF(A273&lt;&gt;"",VLOOKUP(A273,Employees!A:Q,3,0),"")</f>
        <v/>
      </c>
      <c r="D273" s="17" t="str">
        <f>IF(IF(A273&lt;&gt;"",VLOOKUP(A273,Employees!A:Q,4,0),"")="NULL","",IF(A273&lt;&gt;"",VLOOKUP(A273,Employees!A:Q,4,0),""))</f>
        <v/>
      </c>
      <c r="E273" s="17" t="str">
        <f>IF(IF(A273&lt;&gt;"",VLOOKUP(A273,Employees!A:Q,5,0),"")="NULL","",IF(A273&lt;&gt;"",VLOOKUP(A273,Employees!A:Q,5,0),""))</f>
        <v/>
      </c>
      <c r="F273" t="str">
        <f>IF(IF(A273&lt;&gt;"",VLOOKUP(A273,Employees!A:Q,9,0),"")="NULL","",IF(A273&lt;&gt;"",VLOOKUP(A273,Employees!A:Q,9,0),""))</f>
        <v/>
      </c>
      <c r="G273" t="str">
        <f>IF(IF(A273&lt;&gt;"",VLOOKUP(A273,Employees!A:Q,10,0),"")="NULL","",IF(A273&lt;&gt;"",VLOOKUP(A273,Employees!A:Q,10,0),""))</f>
        <v/>
      </c>
      <c r="H273" t="str">
        <f>IF(IF(A273&lt;&gt;"",VLOOKUP(A273,Employees!A:Q,11,0),"")="NULL","",IF(A273&lt;&gt;"",VLOOKUP(A273,Employees!A:Q,11,0),""))</f>
        <v/>
      </c>
      <c r="I273" s="25" t="str">
        <f>IFERROR(VALUE(IF(IF(A273&lt;&gt;"",VLOOKUP(A273,Employees!A:Q,12,0),"")="NULL","",IF(A273&lt;&gt;"",VLOOKUP(A273,Employees!A:Q,12,0),""))),"")</f>
        <v/>
      </c>
      <c r="J273" t="str">
        <f>IF(IF(A273&lt;&gt;"",VLOOKUP(A273,Employees!A:Q,14,0),"")="NULL","",IF(A273&lt;&gt;"",VLOOKUP(A273,Employees!A:Q,14,0),""))</f>
        <v/>
      </c>
    </row>
    <row r="274" spans="2:10" x14ac:dyDescent="0.25">
      <c r="B274" t="str">
        <f>IF(A274&lt;&gt;"",VLOOKUP(A274,Employees!A:Q,2,0),"")</f>
        <v/>
      </c>
      <c r="C274" t="str">
        <f>IF(A274&lt;&gt;"",VLOOKUP(A274,Employees!A:Q,3,0),"")</f>
        <v/>
      </c>
      <c r="D274" s="17" t="str">
        <f>IF(IF(A274&lt;&gt;"",VLOOKUP(A274,Employees!A:Q,4,0),"")="NULL","",IF(A274&lt;&gt;"",VLOOKUP(A274,Employees!A:Q,4,0),""))</f>
        <v/>
      </c>
      <c r="E274" s="17" t="str">
        <f>IF(IF(A274&lt;&gt;"",VLOOKUP(A274,Employees!A:Q,5,0),"")="NULL","",IF(A274&lt;&gt;"",VLOOKUP(A274,Employees!A:Q,5,0),""))</f>
        <v/>
      </c>
      <c r="F274" t="str">
        <f>IF(IF(A274&lt;&gt;"",VLOOKUP(A274,Employees!A:Q,9,0),"")="NULL","",IF(A274&lt;&gt;"",VLOOKUP(A274,Employees!A:Q,9,0),""))</f>
        <v/>
      </c>
      <c r="G274" t="str">
        <f>IF(IF(A274&lt;&gt;"",VLOOKUP(A274,Employees!A:Q,10,0),"")="NULL","",IF(A274&lt;&gt;"",VLOOKUP(A274,Employees!A:Q,10,0),""))</f>
        <v/>
      </c>
      <c r="H274" t="str">
        <f>IF(IF(A274&lt;&gt;"",VLOOKUP(A274,Employees!A:Q,11,0),"")="NULL","",IF(A274&lt;&gt;"",VLOOKUP(A274,Employees!A:Q,11,0),""))</f>
        <v/>
      </c>
      <c r="I274" s="25" t="str">
        <f>IFERROR(VALUE(IF(IF(A274&lt;&gt;"",VLOOKUP(A274,Employees!A:Q,12,0),"")="NULL","",IF(A274&lt;&gt;"",VLOOKUP(A274,Employees!A:Q,12,0),""))),"")</f>
        <v/>
      </c>
      <c r="J274" t="str">
        <f>IF(IF(A274&lt;&gt;"",VLOOKUP(A274,Employees!A:Q,14,0),"")="NULL","",IF(A274&lt;&gt;"",VLOOKUP(A274,Employees!A:Q,14,0),""))</f>
        <v/>
      </c>
    </row>
    <row r="275" spans="2:10" x14ac:dyDescent="0.25">
      <c r="B275" t="str">
        <f>IF(A275&lt;&gt;"",VLOOKUP(A275,Employees!A:Q,2,0),"")</f>
        <v/>
      </c>
      <c r="C275" t="str">
        <f>IF(A275&lt;&gt;"",VLOOKUP(A275,Employees!A:Q,3,0),"")</f>
        <v/>
      </c>
      <c r="D275" s="17" t="str">
        <f>IF(IF(A275&lt;&gt;"",VLOOKUP(A275,Employees!A:Q,4,0),"")="NULL","",IF(A275&lt;&gt;"",VLOOKUP(A275,Employees!A:Q,4,0),""))</f>
        <v/>
      </c>
      <c r="E275" s="17" t="str">
        <f>IF(IF(A275&lt;&gt;"",VLOOKUP(A275,Employees!A:Q,5,0),"")="NULL","",IF(A275&lt;&gt;"",VLOOKUP(A275,Employees!A:Q,5,0),""))</f>
        <v/>
      </c>
      <c r="F275" t="str">
        <f>IF(IF(A275&lt;&gt;"",VLOOKUP(A275,Employees!A:Q,9,0),"")="NULL","",IF(A275&lt;&gt;"",VLOOKUP(A275,Employees!A:Q,9,0),""))</f>
        <v/>
      </c>
      <c r="G275" t="str">
        <f>IF(IF(A275&lt;&gt;"",VLOOKUP(A275,Employees!A:Q,10,0),"")="NULL","",IF(A275&lt;&gt;"",VLOOKUP(A275,Employees!A:Q,10,0),""))</f>
        <v/>
      </c>
      <c r="H275" t="str">
        <f>IF(IF(A275&lt;&gt;"",VLOOKUP(A275,Employees!A:Q,11,0),"")="NULL","",IF(A275&lt;&gt;"",VLOOKUP(A275,Employees!A:Q,11,0),""))</f>
        <v/>
      </c>
      <c r="I275" s="25" t="str">
        <f>IFERROR(VALUE(IF(IF(A275&lt;&gt;"",VLOOKUP(A275,Employees!A:Q,12,0),"")="NULL","",IF(A275&lt;&gt;"",VLOOKUP(A275,Employees!A:Q,12,0),""))),"")</f>
        <v/>
      </c>
      <c r="J275" t="str">
        <f>IF(IF(A275&lt;&gt;"",VLOOKUP(A275,Employees!A:Q,14,0),"")="NULL","",IF(A275&lt;&gt;"",VLOOKUP(A275,Employees!A:Q,14,0),""))</f>
        <v/>
      </c>
    </row>
    <row r="276" spans="2:10" x14ac:dyDescent="0.25">
      <c r="B276" t="str">
        <f>IF(A276&lt;&gt;"",VLOOKUP(A276,Employees!A:Q,2,0),"")</f>
        <v/>
      </c>
      <c r="C276" t="str">
        <f>IF(A276&lt;&gt;"",VLOOKUP(A276,Employees!A:Q,3,0),"")</f>
        <v/>
      </c>
      <c r="D276" s="17" t="str">
        <f>IF(IF(A276&lt;&gt;"",VLOOKUP(A276,Employees!A:Q,4,0),"")="NULL","",IF(A276&lt;&gt;"",VLOOKUP(A276,Employees!A:Q,4,0),""))</f>
        <v/>
      </c>
      <c r="E276" s="17" t="str">
        <f>IF(IF(A276&lt;&gt;"",VLOOKUP(A276,Employees!A:Q,5,0),"")="NULL","",IF(A276&lt;&gt;"",VLOOKUP(A276,Employees!A:Q,5,0),""))</f>
        <v/>
      </c>
      <c r="F276" t="str">
        <f>IF(IF(A276&lt;&gt;"",VLOOKUP(A276,Employees!A:Q,9,0),"")="NULL","",IF(A276&lt;&gt;"",VLOOKUP(A276,Employees!A:Q,9,0),""))</f>
        <v/>
      </c>
      <c r="G276" t="str">
        <f>IF(IF(A276&lt;&gt;"",VLOOKUP(A276,Employees!A:Q,10,0),"")="NULL","",IF(A276&lt;&gt;"",VLOOKUP(A276,Employees!A:Q,10,0),""))</f>
        <v/>
      </c>
      <c r="H276" t="str">
        <f>IF(IF(A276&lt;&gt;"",VLOOKUP(A276,Employees!A:Q,11,0),"")="NULL","",IF(A276&lt;&gt;"",VLOOKUP(A276,Employees!A:Q,11,0),""))</f>
        <v/>
      </c>
      <c r="I276" s="25" t="str">
        <f>IFERROR(VALUE(IF(IF(A276&lt;&gt;"",VLOOKUP(A276,Employees!A:Q,12,0),"")="NULL","",IF(A276&lt;&gt;"",VLOOKUP(A276,Employees!A:Q,12,0),""))),"")</f>
        <v/>
      </c>
      <c r="J276" t="str">
        <f>IF(IF(A276&lt;&gt;"",VLOOKUP(A276,Employees!A:Q,14,0),"")="NULL","",IF(A276&lt;&gt;"",VLOOKUP(A276,Employees!A:Q,14,0),""))</f>
        <v/>
      </c>
    </row>
    <row r="277" spans="2:10" x14ac:dyDescent="0.25">
      <c r="B277" t="str">
        <f>IF(A277&lt;&gt;"",VLOOKUP(A277,Employees!A:Q,2,0),"")</f>
        <v/>
      </c>
      <c r="C277" t="str">
        <f>IF(A277&lt;&gt;"",VLOOKUP(A277,Employees!A:Q,3,0),"")</f>
        <v/>
      </c>
      <c r="D277" s="17" t="str">
        <f>IF(IF(A277&lt;&gt;"",VLOOKUP(A277,Employees!A:Q,4,0),"")="NULL","",IF(A277&lt;&gt;"",VLOOKUP(A277,Employees!A:Q,4,0),""))</f>
        <v/>
      </c>
      <c r="E277" s="17" t="str">
        <f>IF(IF(A277&lt;&gt;"",VLOOKUP(A277,Employees!A:Q,5,0),"")="NULL","",IF(A277&lt;&gt;"",VLOOKUP(A277,Employees!A:Q,5,0),""))</f>
        <v/>
      </c>
      <c r="F277" t="str">
        <f>IF(IF(A277&lt;&gt;"",VLOOKUP(A277,Employees!A:Q,9,0),"")="NULL","",IF(A277&lt;&gt;"",VLOOKUP(A277,Employees!A:Q,9,0),""))</f>
        <v/>
      </c>
      <c r="G277" t="str">
        <f>IF(IF(A277&lt;&gt;"",VLOOKUP(A277,Employees!A:Q,10,0),"")="NULL","",IF(A277&lt;&gt;"",VLOOKUP(A277,Employees!A:Q,10,0),""))</f>
        <v/>
      </c>
      <c r="H277" t="str">
        <f>IF(IF(A277&lt;&gt;"",VLOOKUP(A277,Employees!A:Q,11,0),"")="NULL","",IF(A277&lt;&gt;"",VLOOKUP(A277,Employees!A:Q,11,0),""))</f>
        <v/>
      </c>
      <c r="I277" s="25" t="str">
        <f>IFERROR(VALUE(IF(IF(A277&lt;&gt;"",VLOOKUP(A277,Employees!A:Q,12,0),"")="NULL","",IF(A277&lt;&gt;"",VLOOKUP(A277,Employees!A:Q,12,0),""))),"")</f>
        <v/>
      </c>
      <c r="J277" t="str">
        <f>IF(IF(A277&lt;&gt;"",VLOOKUP(A277,Employees!A:Q,14,0),"")="NULL","",IF(A277&lt;&gt;"",VLOOKUP(A277,Employees!A:Q,14,0),""))</f>
        <v/>
      </c>
    </row>
    <row r="278" spans="2:10" x14ac:dyDescent="0.25">
      <c r="B278" t="str">
        <f>IF(A278&lt;&gt;"",VLOOKUP(A278,Employees!A:Q,2,0),"")</f>
        <v/>
      </c>
      <c r="C278" t="str">
        <f>IF(A278&lt;&gt;"",VLOOKUP(A278,Employees!A:Q,3,0),"")</f>
        <v/>
      </c>
      <c r="D278" s="17" t="str">
        <f>IF(IF(A278&lt;&gt;"",VLOOKUP(A278,Employees!A:Q,4,0),"")="NULL","",IF(A278&lt;&gt;"",VLOOKUP(A278,Employees!A:Q,4,0),""))</f>
        <v/>
      </c>
      <c r="E278" s="17" t="str">
        <f>IF(IF(A278&lt;&gt;"",VLOOKUP(A278,Employees!A:Q,5,0),"")="NULL","",IF(A278&lt;&gt;"",VLOOKUP(A278,Employees!A:Q,5,0),""))</f>
        <v/>
      </c>
      <c r="F278" t="str">
        <f>IF(IF(A278&lt;&gt;"",VLOOKUP(A278,Employees!A:Q,9,0),"")="NULL","",IF(A278&lt;&gt;"",VLOOKUP(A278,Employees!A:Q,9,0),""))</f>
        <v/>
      </c>
      <c r="G278" t="str">
        <f>IF(IF(A278&lt;&gt;"",VLOOKUP(A278,Employees!A:Q,10,0),"")="NULL","",IF(A278&lt;&gt;"",VLOOKUP(A278,Employees!A:Q,10,0),""))</f>
        <v/>
      </c>
      <c r="H278" t="str">
        <f>IF(IF(A278&lt;&gt;"",VLOOKUP(A278,Employees!A:Q,11,0),"")="NULL","",IF(A278&lt;&gt;"",VLOOKUP(A278,Employees!A:Q,11,0),""))</f>
        <v/>
      </c>
      <c r="I278" s="25" t="str">
        <f>IFERROR(VALUE(IF(IF(A278&lt;&gt;"",VLOOKUP(A278,Employees!A:Q,12,0),"")="NULL","",IF(A278&lt;&gt;"",VLOOKUP(A278,Employees!A:Q,12,0),""))),"")</f>
        <v/>
      </c>
      <c r="J278" t="str">
        <f>IF(IF(A278&lt;&gt;"",VLOOKUP(A278,Employees!A:Q,14,0),"")="NULL","",IF(A278&lt;&gt;"",VLOOKUP(A278,Employees!A:Q,14,0),""))</f>
        <v/>
      </c>
    </row>
    <row r="279" spans="2:10" x14ac:dyDescent="0.25">
      <c r="B279" t="str">
        <f>IF(A279&lt;&gt;"",VLOOKUP(A279,Employees!A:Q,2,0),"")</f>
        <v/>
      </c>
      <c r="C279" t="str">
        <f>IF(A279&lt;&gt;"",VLOOKUP(A279,Employees!A:Q,3,0),"")</f>
        <v/>
      </c>
      <c r="D279" s="17" t="str">
        <f>IF(IF(A279&lt;&gt;"",VLOOKUP(A279,Employees!A:Q,4,0),"")="NULL","",IF(A279&lt;&gt;"",VLOOKUP(A279,Employees!A:Q,4,0),""))</f>
        <v/>
      </c>
      <c r="E279" s="17" t="str">
        <f>IF(IF(A279&lt;&gt;"",VLOOKUP(A279,Employees!A:Q,5,0),"")="NULL","",IF(A279&lt;&gt;"",VLOOKUP(A279,Employees!A:Q,5,0),""))</f>
        <v/>
      </c>
      <c r="F279" t="str">
        <f>IF(IF(A279&lt;&gt;"",VLOOKUP(A279,Employees!A:Q,9,0),"")="NULL","",IF(A279&lt;&gt;"",VLOOKUP(A279,Employees!A:Q,9,0),""))</f>
        <v/>
      </c>
      <c r="G279" t="str">
        <f>IF(IF(A279&lt;&gt;"",VLOOKUP(A279,Employees!A:Q,10,0),"")="NULL","",IF(A279&lt;&gt;"",VLOOKUP(A279,Employees!A:Q,10,0),""))</f>
        <v/>
      </c>
      <c r="H279" t="str">
        <f>IF(IF(A279&lt;&gt;"",VLOOKUP(A279,Employees!A:Q,11,0),"")="NULL","",IF(A279&lt;&gt;"",VLOOKUP(A279,Employees!A:Q,11,0),""))</f>
        <v/>
      </c>
      <c r="I279" s="25" t="str">
        <f>IFERROR(VALUE(IF(IF(A279&lt;&gt;"",VLOOKUP(A279,Employees!A:Q,12,0),"")="NULL","",IF(A279&lt;&gt;"",VLOOKUP(A279,Employees!A:Q,12,0),""))),"")</f>
        <v/>
      </c>
      <c r="J279" t="str">
        <f>IF(IF(A279&lt;&gt;"",VLOOKUP(A279,Employees!A:Q,14,0),"")="NULL","",IF(A279&lt;&gt;"",VLOOKUP(A279,Employees!A:Q,14,0),""))</f>
        <v/>
      </c>
    </row>
    <row r="280" spans="2:10" x14ac:dyDescent="0.25">
      <c r="B280" t="str">
        <f>IF(A280&lt;&gt;"",VLOOKUP(A280,Employees!A:Q,2,0),"")</f>
        <v/>
      </c>
      <c r="C280" t="str">
        <f>IF(A280&lt;&gt;"",VLOOKUP(A280,Employees!A:Q,3,0),"")</f>
        <v/>
      </c>
      <c r="D280" s="17" t="str">
        <f>IF(IF(A280&lt;&gt;"",VLOOKUP(A280,Employees!A:Q,4,0),"")="NULL","",IF(A280&lt;&gt;"",VLOOKUP(A280,Employees!A:Q,4,0),""))</f>
        <v/>
      </c>
      <c r="E280" s="17" t="str">
        <f>IF(IF(A280&lt;&gt;"",VLOOKUP(A280,Employees!A:Q,5,0),"")="NULL","",IF(A280&lt;&gt;"",VLOOKUP(A280,Employees!A:Q,5,0),""))</f>
        <v/>
      </c>
      <c r="F280" t="str">
        <f>IF(IF(A280&lt;&gt;"",VLOOKUP(A280,Employees!A:Q,9,0),"")="NULL","",IF(A280&lt;&gt;"",VLOOKUP(A280,Employees!A:Q,9,0),""))</f>
        <v/>
      </c>
      <c r="G280" t="str">
        <f>IF(IF(A280&lt;&gt;"",VLOOKUP(A280,Employees!A:Q,10,0),"")="NULL","",IF(A280&lt;&gt;"",VLOOKUP(A280,Employees!A:Q,10,0),""))</f>
        <v/>
      </c>
      <c r="H280" t="str">
        <f>IF(IF(A280&lt;&gt;"",VLOOKUP(A280,Employees!A:Q,11,0),"")="NULL","",IF(A280&lt;&gt;"",VLOOKUP(A280,Employees!A:Q,11,0),""))</f>
        <v/>
      </c>
      <c r="I280" s="25" t="str">
        <f>IFERROR(VALUE(IF(IF(A280&lt;&gt;"",VLOOKUP(A280,Employees!A:Q,12,0),"")="NULL","",IF(A280&lt;&gt;"",VLOOKUP(A280,Employees!A:Q,12,0),""))),"")</f>
        <v/>
      </c>
      <c r="J280" t="str">
        <f>IF(IF(A280&lt;&gt;"",VLOOKUP(A280,Employees!A:Q,14,0),"")="NULL","",IF(A280&lt;&gt;"",VLOOKUP(A280,Employees!A:Q,14,0),""))</f>
        <v/>
      </c>
    </row>
    <row r="281" spans="2:10" x14ac:dyDescent="0.25">
      <c r="B281" t="str">
        <f>IF(A281&lt;&gt;"",VLOOKUP(A281,Employees!A:Q,2,0),"")</f>
        <v/>
      </c>
      <c r="C281" t="str">
        <f>IF(A281&lt;&gt;"",VLOOKUP(A281,Employees!A:Q,3,0),"")</f>
        <v/>
      </c>
      <c r="D281" s="17" t="str">
        <f>IF(IF(A281&lt;&gt;"",VLOOKUP(A281,Employees!A:Q,4,0),"")="NULL","",IF(A281&lt;&gt;"",VLOOKUP(A281,Employees!A:Q,4,0),""))</f>
        <v/>
      </c>
      <c r="E281" s="17" t="str">
        <f>IF(IF(A281&lt;&gt;"",VLOOKUP(A281,Employees!A:Q,5,0),"")="NULL","",IF(A281&lt;&gt;"",VLOOKUP(A281,Employees!A:Q,5,0),""))</f>
        <v/>
      </c>
      <c r="F281" t="str">
        <f>IF(IF(A281&lt;&gt;"",VLOOKUP(A281,Employees!A:Q,9,0),"")="NULL","",IF(A281&lt;&gt;"",VLOOKUP(A281,Employees!A:Q,9,0),""))</f>
        <v/>
      </c>
      <c r="G281" t="str">
        <f>IF(IF(A281&lt;&gt;"",VLOOKUP(A281,Employees!A:Q,10,0),"")="NULL","",IF(A281&lt;&gt;"",VLOOKUP(A281,Employees!A:Q,10,0),""))</f>
        <v/>
      </c>
      <c r="H281" t="str">
        <f>IF(IF(A281&lt;&gt;"",VLOOKUP(A281,Employees!A:Q,11,0),"")="NULL","",IF(A281&lt;&gt;"",VLOOKUP(A281,Employees!A:Q,11,0),""))</f>
        <v/>
      </c>
      <c r="I281" s="25" t="str">
        <f>IFERROR(VALUE(IF(IF(A281&lt;&gt;"",VLOOKUP(A281,Employees!A:Q,12,0),"")="NULL","",IF(A281&lt;&gt;"",VLOOKUP(A281,Employees!A:Q,12,0),""))),"")</f>
        <v/>
      </c>
      <c r="J281" t="str">
        <f>IF(IF(A281&lt;&gt;"",VLOOKUP(A281,Employees!A:Q,14,0),"")="NULL","",IF(A281&lt;&gt;"",VLOOKUP(A281,Employees!A:Q,14,0),""))</f>
        <v/>
      </c>
    </row>
    <row r="282" spans="2:10" x14ac:dyDescent="0.25">
      <c r="B282" t="str">
        <f>IF(A282&lt;&gt;"",VLOOKUP(A282,Employees!A:Q,2,0),"")</f>
        <v/>
      </c>
      <c r="C282" t="str">
        <f>IF(A282&lt;&gt;"",VLOOKUP(A282,Employees!A:Q,3,0),"")</f>
        <v/>
      </c>
      <c r="D282" s="17" t="str">
        <f>IF(IF(A282&lt;&gt;"",VLOOKUP(A282,Employees!A:Q,4,0),"")="NULL","",IF(A282&lt;&gt;"",VLOOKUP(A282,Employees!A:Q,4,0),""))</f>
        <v/>
      </c>
      <c r="E282" s="17" t="str">
        <f>IF(IF(A282&lt;&gt;"",VLOOKUP(A282,Employees!A:Q,5,0),"")="NULL","",IF(A282&lt;&gt;"",VLOOKUP(A282,Employees!A:Q,5,0),""))</f>
        <v/>
      </c>
      <c r="F282" t="str">
        <f>IF(IF(A282&lt;&gt;"",VLOOKUP(A282,Employees!A:Q,9,0),"")="NULL","",IF(A282&lt;&gt;"",VLOOKUP(A282,Employees!A:Q,9,0),""))</f>
        <v/>
      </c>
      <c r="G282" t="str">
        <f>IF(IF(A282&lt;&gt;"",VLOOKUP(A282,Employees!A:Q,10,0),"")="NULL","",IF(A282&lt;&gt;"",VLOOKUP(A282,Employees!A:Q,10,0),""))</f>
        <v/>
      </c>
      <c r="H282" t="str">
        <f>IF(IF(A282&lt;&gt;"",VLOOKUP(A282,Employees!A:Q,11,0),"")="NULL","",IF(A282&lt;&gt;"",VLOOKUP(A282,Employees!A:Q,11,0),""))</f>
        <v/>
      </c>
      <c r="I282" s="25" t="str">
        <f>IFERROR(VALUE(IF(IF(A282&lt;&gt;"",VLOOKUP(A282,Employees!A:Q,12,0),"")="NULL","",IF(A282&lt;&gt;"",VLOOKUP(A282,Employees!A:Q,12,0),""))),"")</f>
        <v/>
      </c>
      <c r="J282" t="str">
        <f>IF(IF(A282&lt;&gt;"",VLOOKUP(A282,Employees!A:Q,14,0),"")="NULL","",IF(A282&lt;&gt;"",VLOOKUP(A282,Employees!A:Q,14,0),""))</f>
        <v/>
      </c>
    </row>
    <row r="283" spans="2:10" x14ac:dyDescent="0.25">
      <c r="B283" t="str">
        <f>IF(A283&lt;&gt;"",VLOOKUP(A283,Employees!A:Q,2,0),"")</f>
        <v/>
      </c>
      <c r="C283" t="str">
        <f>IF(A283&lt;&gt;"",VLOOKUP(A283,Employees!A:Q,3,0),"")</f>
        <v/>
      </c>
      <c r="D283" s="17" t="str">
        <f>IF(IF(A283&lt;&gt;"",VLOOKUP(A283,Employees!A:Q,4,0),"")="NULL","",IF(A283&lt;&gt;"",VLOOKUP(A283,Employees!A:Q,4,0),""))</f>
        <v/>
      </c>
      <c r="E283" s="17" t="str">
        <f>IF(IF(A283&lt;&gt;"",VLOOKUP(A283,Employees!A:Q,5,0),"")="NULL","",IF(A283&lt;&gt;"",VLOOKUP(A283,Employees!A:Q,5,0),""))</f>
        <v/>
      </c>
      <c r="F283" t="str">
        <f>IF(IF(A283&lt;&gt;"",VLOOKUP(A283,Employees!A:Q,9,0),"")="NULL","",IF(A283&lt;&gt;"",VLOOKUP(A283,Employees!A:Q,9,0),""))</f>
        <v/>
      </c>
      <c r="G283" t="str">
        <f>IF(IF(A283&lt;&gt;"",VLOOKUP(A283,Employees!A:Q,10,0),"")="NULL","",IF(A283&lt;&gt;"",VLOOKUP(A283,Employees!A:Q,10,0),""))</f>
        <v/>
      </c>
      <c r="H283" t="str">
        <f>IF(IF(A283&lt;&gt;"",VLOOKUP(A283,Employees!A:Q,11,0),"")="NULL","",IF(A283&lt;&gt;"",VLOOKUP(A283,Employees!A:Q,11,0),""))</f>
        <v/>
      </c>
      <c r="I283" s="25" t="str">
        <f>IFERROR(VALUE(IF(IF(A283&lt;&gt;"",VLOOKUP(A283,Employees!A:Q,12,0),"")="NULL","",IF(A283&lt;&gt;"",VLOOKUP(A283,Employees!A:Q,12,0),""))),"")</f>
        <v/>
      </c>
      <c r="J283" t="str">
        <f>IF(IF(A283&lt;&gt;"",VLOOKUP(A283,Employees!A:Q,14,0),"")="NULL","",IF(A283&lt;&gt;"",VLOOKUP(A283,Employees!A:Q,14,0),""))</f>
        <v/>
      </c>
    </row>
    <row r="284" spans="2:10" x14ac:dyDescent="0.25">
      <c r="B284" t="str">
        <f>IF(A284&lt;&gt;"",VLOOKUP(A284,Employees!A:Q,2,0),"")</f>
        <v/>
      </c>
      <c r="C284" t="str">
        <f>IF(A284&lt;&gt;"",VLOOKUP(A284,Employees!A:Q,3,0),"")</f>
        <v/>
      </c>
      <c r="D284" s="17" t="str">
        <f>IF(IF(A284&lt;&gt;"",VLOOKUP(A284,Employees!A:Q,4,0),"")="NULL","",IF(A284&lt;&gt;"",VLOOKUP(A284,Employees!A:Q,4,0),""))</f>
        <v/>
      </c>
      <c r="E284" s="17" t="str">
        <f>IF(IF(A284&lt;&gt;"",VLOOKUP(A284,Employees!A:Q,5,0),"")="NULL","",IF(A284&lt;&gt;"",VLOOKUP(A284,Employees!A:Q,5,0),""))</f>
        <v/>
      </c>
      <c r="F284" t="str">
        <f>IF(IF(A284&lt;&gt;"",VLOOKUP(A284,Employees!A:Q,9,0),"")="NULL","",IF(A284&lt;&gt;"",VLOOKUP(A284,Employees!A:Q,9,0),""))</f>
        <v/>
      </c>
      <c r="G284" t="str">
        <f>IF(IF(A284&lt;&gt;"",VLOOKUP(A284,Employees!A:Q,10,0),"")="NULL","",IF(A284&lt;&gt;"",VLOOKUP(A284,Employees!A:Q,10,0),""))</f>
        <v/>
      </c>
      <c r="H284" t="str">
        <f>IF(IF(A284&lt;&gt;"",VLOOKUP(A284,Employees!A:Q,11,0),"")="NULL","",IF(A284&lt;&gt;"",VLOOKUP(A284,Employees!A:Q,11,0),""))</f>
        <v/>
      </c>
      <c r="I284" s="25" t="str">
        <f>IFERROR(VALUE(IF(IF(A284&lt;&gt;"",VLOOKUP(A284,Employees!A:Q,12,0),"")="NULL","",IF(A284&lt;&gt;"",VLOOKUP(A284,Employees!A:Q,12,0),""))),"")</f>
        <v/>
      </c>
      <c r="J284" t="str">
        <f>IF(IF(A284&lt;&gt;"",VLOOKUP(A284,Employees!A:Q,14,0),"")="NULL","",IF(A284&lt;&gt;"",VLOOKUP(A284,Employees!A:Q,14,0),""))</f>
        <v/>
      </c>
    </row>
    <row r="285" spans="2:10" x14ac:dyDescent="0.25">
      <c r="B285" t="str">
        <f>IF(A285&lt;&gt;"",VLOOKUP(A285,Employees!A:Q,2,0),"")</f>
        <v/>
      </c>
      <c r="C285" t="str">
        <f>IF(A285&lt;&gt;"",VLOOKUP(A285,Employees!A:Q,3,0),"")</f>
        <v/>
      </c>
      <c r="D285" s="17" t="str">
        <f>IF(IF(A285&lt;&gt;"",VLOOKUP(A285,Employees!A:Q,4,0),"")="NULL","",IF(A285&lt;&gt;"",VLOOKUP(A285,Employees!A:Q,4,0),""))</f>
        <v/>
      </c>
      <c r="E285" s="17" t="str">
        <f>IF(IF(A285&lt;&gt;"",VLOOKUP(A285,Employees!A:Q,5,0),"")="NULL","",IF(A285&lt;&gt;"",VLOOKUP(A285,Employees!A:Q,5,0),""))</f>
        <v/>
      </c>
      <c r="F285" t="str">
        <f>IF(IF(A285&lt;&gt;"",VLOOKUP(A285,Employees!A:Q,9,0),"")="NULL","",IF(A285&lt;&gt;"",VLOOKUP(A285,Employees!A:Q,9,0),""))</f>
        <v/>
      </c>
      <c r="G285" t="str">
        <f>IF(IF(A285&lt;&gt;"",VLOOKUP(A285,Employees!A:Q,10,0),"")="NULL","",IF(A285&lt;&gt;"",VLOOKUP(A285,Employees!A:Q,10,0),""))</f>
        <v/>
      </c>
      <c r="H285" t="str">
        <f>IF(IF(A285&lt;&gt;"",VLOOKUP(A285,Employees!A:Q,11,0),"")="NULL","",IF(A285&lt;&gt;"",VLOOKUP(A285,Employees!A:Q,11,0),""))</f>
        <v/>
      </c>
      <c r="I285" s="25" t="str">
        <f>IFERROR(VALUE(IF(IF(A285&lt;&gt;"",VLOOKUP(A285,Employees!A:Q,12,0),"")="NULL","",IF(A285&lt;&gt;"",VLOOKUP(A285,Employees!A:Q,12,0),""))),"")</f>
        <v/>
      </c>
      <c r="J285" t="str">
        <f>IF(IF(A285&lt;&gt;"",VLOOKUP(A285,Employees!A:Q,14,0),"")="NULL","",IF(A285&lt;&gt;"",VLOOKUP(A285,Employees!A:Q,14,0),""))</f>
        <v/>
      </c>
    </row>
    <row r="286" spans="2:10" x14ac:dyDescent="0.25">
      <c r="B286" t="str">
        <f>IF(A286&lt;&gt;"",VLOOKUP(A286,Employees!A:Q,2,0),"")</f>
        <v/>
      </c>
      <c r="C286" t="str">
        <f>IF(A286&lt;&gt;"",VLOOKUP(A286,Employees!A:Q,3,0),"")</f>
        <v/>
      </c>
      <c r="D286" s="17" t="str">
        <f>IF(IF(A286&lt;&gt;"",VLOOKUP(A286,Employees!A:Q,4,0),"")="NULL","",IF(A286&lt;&gt;"",VLOOKUP(A286,Employees!A:Q,4,0),""))</f>
        <v/>
      </c>
      <c r="E286" s="17" t="str">
        <f>IF(IF(A286&lt;&gt;"",VLOOKUP(A286,Employees!A:Q,5,0),"")="NULL","",IF(A286&lt;&gt;"",VLOOKUP(A286,Employees!A:Q,5,0),""))</f>
        <v/>
      </c>
      <c r="F286" t="str">
        <f>IF(IF(A286&lt;&gt;"",VLOOKUP(A286,Employees!A:Q,9,0),"")="NULL","",IF(A286&lt;&gt;"",VLOOKUP(A286,Employees!A:Q,9,0),""))</f>
        <v/>
      </c>
      <c r="G286" t="str">
        <f>IF(IF(A286&lt;&gt;"",VLOOKUP(A286,Employees!A:Q,10,0),"")="NULL","",IF(A286&lt;&gt;"",VLOOKUP(A286,Employees!A:Q,10,0),""))</f>
        <v/>
      </c>
      <c r="H286" t="str">
        <f>IF(IF(A286&lt;&gt;"",VLOOKUP(A286,Employees!A:Q,11,0),"")="NULL","",IF(A286&lt;&gt;"",VLOOKUP(A286,Employees!A:Q,11,0),""))</f>
        <v/>
      </c>
      <c r="I286" s="25" t="str">
        <f>IFERROR(VALUE(IF(IF(A286&lt;&gt;"",VLOOKUP(A286,Employees!A:Q,12,0),"")="NULL","",IF(A286&lt;&gt;"",VLOOKUP(A286,Employees!A:Q,12,0),""))),"")</f>
        <v/>
      </c>
      <c r="J286" t="str">
        <f>IF(IF(A286&lt;&gt;"",VLOOKUP(A286,Employees!A:Q,14,0),"")="NULL","",IF(A286&lt;&gt;"",VLOOKUP(A286,Employees!A:Q,14,0),""))</f>
        <v/>
      </c>
    </row>
    <row r="287" spans="2:10" x14ac:dyDescent="0.25">
      <c r="B287" t="str">
        <f>IF(A287&lt;&gt;"",VLOOKUP(A287,Employees!A:Q,2,0),"")</f>
        <v/>
      </c>
      <c r="C287" t="str">
        <f>IF(A287&lt;&gt;"",VLOOKUP(A287,Employees!A:Q,3,0),"")</f>
        <v/>
      </c>
      <c r="D287" s="17" t="str">
        <f>IF(IF(A287&lt;&gt;"",VLOOKUP(A287,Employees!A:Q,4,0),"")="NULL","",IF(A287&lt;&gt;"",VLOOKUP(A287,Employees!A:Q,4,0),""))</f>
        <v/>
      </c>
      <c r="E287" s="17" t="str">
        <f>IF(IF(A287&lt;&gt;"",VLOOKUP(A287,Employees!A:Q,5,0),"")="NULL","",IF(A287&lt;&gt;"",VLOOKUP(A287,Employees!A:Q,5,0),""))</f>
        <v/>
      </c>
      <c r="F287" t="str">
        <f>IF(IF(A287&lt;&gt;"",VLOOKUP(A287,Employees!A:Q,9,0),"")="NULL","",IF(A287&lt;&gt;"",VLOOKUP(A287,Employees!A:Q,9,0),""))</f>
        <v/>
      </c>
      <c r="G287" t="str">
        <f>IF(IF(A287&lt;&gt;"",VLOOKUP(A287,Employees!A:Q,10,0),"")="NULL","",IF(A287&lt;&gt;"",VLOOKUP(A287,Employees!A:Q,10,0),""))</f>
        <v/>
      </c>
      <c r="H287" t="str">
        <f>IF(IF(A287&lt;&gt;"",VLOOKUP(A287,Employees!A:Q,11,0),"")="NULL","",IF(A287&lt;&gt;"",VLOOKUP(A287,Employees!A:Q,11,0),""))</f>
        <v/>
      </c>
      <c r="I287" s="25" t="str">
        <f>IFERROR(VALUE(IF(IF(A287&lt;&gt;"",VLOOKUP(A287,Employees!A:Q,12,0),"")="NULL","",IF(A287&lt;&gt;"",VLOOKUP(A287,Employees!A:Q,12,0),""))),"")</f>
        <v/>
      </c>
      <c r="J287" t="str">
        <f>IF(IF(A287&lt;&gt;"",VLOOKUP(A287,Employees!A:Q,14,0),"")="NULL","",IF(A287&lt;&gt;"",VLOOKUP(A287,Employees!A:Q,14,0),""))</f>
        <v/>
      </c>
    </row>
    <row r="288" spans="2:10" x14ac:dyDescent="0.25">
      <c r="B288" t="str">
        <f>IF(A288&lt;&gt;"",VLOOKUP(A288,Employees!A:Q,2,0),"")</f>
        <v/>
      </c>
      <c r="C288" t="str">
        <f>IF(A288&lt;&gt;"",VLOOKUP(A288,Employees!A:Q,3,0),"")</f>
        <v/>
      </c>
      <c r="D288" s="17" t="str">
        <f>IF(IF(A288&lt;&gt;"",VLOOKUP(A288,Employees!A:Q,4,0),"")="NULL","",IF(A288&lt;&gt;"",VLOOKUP(A288,Employees!A:Q,4,0),""))</f>
        <v/>
      </c>
      <c r="E288" s="17" t="str">
        <f>IF(IF(A288&lt;&gt;"",VLOOKUP(A288,Employees!A:Q,5,0),"")="NULL","",IF(A288&lt;&gt;"",VLOOKUP(A288,Employees!A:Q,5,0),""))</f>
        <v/>
      </c>
      <c r="F288" t="str">
        <f>IF(IF(A288&lt;&gt;"",VLOOKUP(A288,Employees!A:Q,9,0),"")="NULL","",IF(A288&lt;&gt;"",VLOOKUP(A288,Employees!A:Q,9,0),""))</f>
        <v/>
      </c>
      <c r="G288" t="str">
        <f>IF(IF(A288&lt;&gt;"",VLOOKUP(A288,Employees!A:Q,10,0),"")="NULL","",IF(A288&lt;&gt;"",VLOOKUP(A288,Employees!A:Q,10,0),""))</f>
        <v/>
      </c>
      <c r="H288" t="str">
        <f>IF(IF(A288&lt;&gt;"",VLOOKUP(A288,Employees!A:Q,11,0),"")="NULL","",IF(A288&lt;&gt;"",VLOOKUP(A288,Employees!A:Q,11,0),""))</f>
        <v/>
      </c>
      <c r="I288" s="25" t="str">
        <f>IFERROR(VALUE(IF(IF(A288&lt;&gt;"",VLOOKUP(A288,Employees!A:Q,12,0),"")="NULL","",IF(A288&lt;&gt;"",VLOOKUP(A288,Employees!A:Q,12,0),""))),"")</f>
        <v/>
      </c>
      <c r="J288" t="str">
        <f>IF(IF(A288&lt;&gt;"",VLOOKUP(A288,Employees!A:Q,14,0),"")="NULL","",IF(A288&lt;&gt;"",VLOOKUP(A288,Employees!A:Q,14,0),""))</f>
        <v/>
      </c>
    </row>
    <row r="289" spans="2:10" x14ac:dyDescent="0.25">
      <c r="B289" t="str">
        <f>IF(A289&lt;&gt;"",VLOOKUP(A289,Employees!A:Q,2,0),"")</f>
        <v/>
      </c>
      <c r="C289" t="str">
        <f>IF(A289&lt;&gt;"",VLOOKUP(A289,Employees!A:Q,3,0),"")</f>
        <v/>
      </c>
      <c r="D289" s="17" t="str">
        <f>IF(IF(A289&lt;&gt;"",VLOOKUP(A289,Employees!A:Q,4,0),"")="NULL","",IF(A289&lt;&gt;"",VLOOKUP(A289,Employees!A:Q,4,0),""))</f>
        <v/>
      </c>
      <c r="E289" s="17" t="str">
        <f>IF(IF(A289&lt;&gt;"",VLOOKUP(A289,Employees!A:Q,5,0),"")="NULL","",IF(A289&lt;&gt;"",VLOOKUP(A289,Employees!A:Q,5,0),""))</f>
        <v/>
      </c>
      <c r="F289" t="str">
        <f>IF(IF(A289&lt;&gt;"",VLOOKUP(A289,Employees!A:Q,9,0),"")="NULL","",IF(A289&lt;&gt;"",VLOOKUP(A289,Employees!A:Q,9,0),""))</f>
        <v/>
      </c>
      <c r="G289" t="str">
        <f>IF(IF(A289&lt;&gt;"",VLOOKUP(A289,Employees!A:Q,10,0),"")="NULL","",IF(A289&lt;&gt;"",VLOOKUP(A289,Employees!A:Q,10,0),""))</f>
        <v/>
      </c>
      <c r="H289" t="str">
        <f>IF(IF(A289&lt;&gt;"",VLOOKUP(A289,Employees!A:Q,11,0),"")="NULL","",IF(A289&lt;&gt;"",VLOOKUP(A289,Employees!A:Q,11,0),""))</f>
        <v/>
      </c>
      <c r="I289" s="25" t="str">
        <f>IFERROR(VALUE(IF(IF(A289&lt;&gt;"",VLOOKUP(A289,Employees!A:Q,12,0),"")="NULL","",IF(A289&lt;&gt;"",VLOOKUP(A289,Employees!A:Q,12,0),""))),"")</f>
        <v/>
      </c>
      <c r="J289" t="str">
        <f>IF(IF(A289&lt;&gt;"",VLOOKUP(A289,Employees!A:Q,14,0),"")="NULL","",IF(A289&lt;&gt;"",VLOOKUP(A289,Employees!A:Q,14,0),""))</f>
        <v/>
      </c>
    </row>
    <row r="290" spans="2:10" x14ac:dyDescent="0.25">
      <c r="B290" t="str">
        <f>IF(A290&lt;&gt;"",VLOOKUP(A290,Employees!A:Q,2,0),"")</f>
        <v/>
      </c>
      <c r="C290" t="str">
        <f>IF(A290&lt;&gt;"",VLOOKUP(A290,Employees!A:Q,3,0),"")</f>
        <v/>
      </c>
      <c r="D290" s="17" t="str">
        <f>IF(IF(A290&lt;&gt;"",VLOOKUP(A290,Employees!A:Q,4,0),"")="NULL","",IF(A290&lt;&gt;"",VLOOKUP(A290,Employees!A:Q,4,0),""))</f>
        <v/>
      </c>
      <c r="E290" s="17" t="str">
        <f>IF(IF(A290&lt;&gt;"",VLOOKUP(A290,Employees!A:Q,5,0),"")="NULL","",IF(A290&lt;&gt;"",VLOOKUP(A290,Employees!A:Q,5,0),""))</f>
        <v/>
      </c>
      <c r="F290" t="str">
        <f>IF(IF(A290&lt;&gt;"",VLOOKUP(A290,Employees!A:Q,9,0),"")="NULL","",IF(A290&lt;&gt;"",VLOOKUP(A290,Employees!A:Q,9,0),""))</f>
        <v/>
      </c>
      <c r="G290" t="str">
        <f>IF(IF(A290&lt;&gt;"",VLOOKUP(A290,Employees!A:Q,10,0),"")="NULL","",IF(A290&lt;&gt;"",VLOOKUP(A290,Employees!A:Q,10,0),""))</f>
        <v/>
      </c>
      <c r="H290" t="str">
        <f>IF(IF(A290&lt;&gt;"",VLOOKUP(A290,Employees!A:Q,11,0),"")="NULL","",IF(A290&lt;&gt;"",VLOOKUP(A290,Employees!A:Q,11,0),""))</f>
        <v/>
      </c>
      <c r="I290" s="25" t="str">
        <f>IFERROR(VALUE(IF(IF(A290&lt;&gt;"",VLOOKUP(A290,Employees!A:Q,12,0),"")="NULL","",IF(A290&lt;&gt;"",VLOOKUP(A290,Employees!A:Q,12,0),""))),"")</f>
        <v/>
      </c>
      <c r="J290" t="str">
        <f>IF(IF(A290&lt;&gt;"",VLOOKUP(A290,Employees!A:Q,14,0),"")="NULL","",IF(A290&lt;&gt;"",VLOOKUP(A290,Employees!A:Q,14,0),""))</f>
        <v/>
      </c>
    </row>
    <row r="291" spans="2:10" x14ac:dyDescent="0.25">
      <c r="B291" t="str">
        <f>IF(A291&lt;&gt;"",VLOOKUP(A291,Employees!A:Q,2,0),"")</f>
        <v/>
      </c>
      <c r="C291" t="str">
        <f>IF(A291&lt;&gt;"",VLOOKUP(A291,Employees!A:Q,3,0),"")</f>
        <v/>
      </c>
      <c r="D291" s="17" t="str">
        <f>IF(IF(A291&lt;&gt;"",VLOOKUP(A291,Employees!A:Q,4,0),"")="NULL","",IF(A291&lt;&gt;"",VLOOKUP(A291,Employees!A:Q,4,0),""))</f>
        <v/>
      </c>
      <c r="E291" s="17" t="str">
        <f>IF(IF(A291&lt;&gt;"",VLOOKUP(A291,Employees!A:Q,5,0),"")="NULL","",IF(A291&lt;&gt;"",VLOOKUP(A291,Employees!A:Q,5,0),""))</f>
        <v/>
      </c>
      <c r="F291" t="str">
        <f>IF(IF(A291&lt;&gt;"",VLOOKUP(A291,Employees!A:Q,9,0),"")="NULL","",IF(A291&lt;&gt;"",VLOOKUP(A291,Employees!A:Q,9,0),""))</f>
        <v/>
      </c>
      <c r="G291" t="str">
        <f>IF(IF(A291&lt;&gt;"",VLOOKUP(A291,Employees!A:Q,10,0),"")="NULL","",IF(A291&lt;&gt;"",VLOOKUP(A291,Employees!A:Q,10,0),""))</f>
        <v/>
      </c>
      <c r="H291" t="str">
        <f>IF(IF(A291&lt;&gt;"",VLOOKUP(A291,Employees!A:Q,11,0),"")="NULL","",IF(A291&lt;&gt;"",VLOOKUP(A291,Employees!A:Q,11,0),""))</f>
        <v/>
      </c>
      <c r="I291" s="25" t="str">
        <f>IFERROR(VALUE(IF(IF(A291&lt;&gt;"",VLOOKUP(A291,Employees!A:Q,12,0),"")="NULL","",IF(A291&lt;&gt;"",VLOOKUP(A291,Employees!A:Q,12,0),""))),"")</f>
        <v/>
      </c>
      <c r="J291" t="str">
        <f>IF(IF(A291&lt;&gt;"",VLOOKUP(A291,Employees!A:Q,14,0),"")="NULL","",IF(A291&lt;&gt;"",VLOOKUP(A291,Employees!A:Q,14,0),""))</f>
        <v/>
      </c>
    </row>
    <row r="292" spans="2:10" x14ac:dyDescent="0.25">
      <c r="B292" t="str">
        <f>IF(A292&lt;&gt;"",VLOOKUP(A292,Employees!A:Q,2,0),"")</f>
        <v/>
      </c>
      <c r="C292" t="str">
        <f>IF(A292&lt;&gt;"",VLOOKUP(A292,Employees!A:Q,3,0),"")</f>
        <v/>
      </c>
      <c r="D292" s="17" t="str">
        <f>IF(IF(A292&lt;&gt;"",VLOOKUP(A292,Employees!A:Q,4,0),"")="NULL","",IF(A292&lt;&gt;"",VLOOKUP(A292,Employees!A:Q,4,0),""))</f>
        <v/>
      </c>
      <c r="E292" s="17" t="str">
        <f>IF(IF(A292&lt;&gt;"",VLOOKUP(A292,Employees!A:Q,5,0),"")="NULL","",IF(A292&lt;&gt;"",VLOOKUP(A292,Employees!A:Q,5,0),""))</f>
        <v/>
      </c>
      <c r="F292" t="str">
        <f>IF(IF(A292&lt;&gt;"",VLOOKUP(A292,Employees!A:Q,9,0),"")="NULL","",IF(A292&lt;&gt;"",VLOOKUP(A292,Employees!A:Q,9,0),""))</f>
        <v/>
      </c>
      <c r="G292" t="str">
        <f>IF(IF(A292&lt;&gt;"",VLOOKUP(A292,Employees!A:Q,10,0),"")="NULL","",IF(A292&lt;&gt;"",VLOOKUP(A292,Employees!A:Q,10,0),""))</f>
        <v/>
      </c>
      <c r="H292" t="str">
        <f>IF(IF(A292&lt;&gt;"",VLOOKUP(A292,Employees!A:Q,11,0),"")="NULL","",IF(A292&lt;&gt;"",VLOOKUP(A292,Employees!A:Q,11,0),""))</f>
        <v/>
      </c>
      <c r="I292" s="25" t="str">
        <f>IFERROR(VALUE(IF(IF(A292&lt;&gt;"",VLOOKUP(A292,Employees!A:Q,12,0),"")="NULL","",IF(A292&lt;&gt;"",VLOOKUP(A292,Employees!A:Q,12,0),""))),"")</f>
        <v/>
      </c>
      <c r="J292" t="str">
        <f>IF(IF(A292&lt;&gt;"",VLOOKUP(A292,Employees!A:Q,14,0),"")="NULL","",IF(A292&lt;&gt;"",VLOOKUP(A292,Employees!A:Q,14,0),""))</f>
        <v/>
      </c>
    </row>
    <row r="293" spans="2:10" x14ac:dyDescent="0.25">
      <c r="B293" t="str">
        <f>IF(A293&lt;&gt;"",VLOOKUP(A293,Employees!A:Q,2,0),"")</f>
        <v/>
      </c>
      <c r="C293" t="str">
        <f>IF(A293&lt;&gt;"",VLOOKUP(A293,Employees!A:Q,3,0),"")</f>
        <v/>
      </c>
      <c r="D293" s="17" t="str">
        <f>IF(IF(A293&lt;&gt;"",VLOOKUP(A293,Employees!A:Q,4,0),"")="NULL","",IF(A293&lt;&gt;"",VLOOKUP(A293,Employees!A:Q,4,0),""))</f>
        <v/>
      </c>
      <c r="E293" s="17" t="str">
        <f>IF(IF(A293&lt;&gt;"",VLOOKUP(A293,Employees!A:Q,5,0),"")="NULL","",IF(A293&lt;&gt;"",VLOOKUP(A293,Employees!A:Q,5,0),""))</f>
        <v/>
      </c>
      <c r="F293" t="str">
        <f>IF(IF(A293&lt;&gt;"",VLOOKUP(A293,Employees!A:Q,9,0),"")="NULL","",IF(A293&lt;&gt;"",VLOOKUP(A293,Employees!A:Q,9,0),""))</f>
        <v/>
      </c>
      <c r="G293" t="str">
        <f>IF(IF(A293&lt;&gt;"",VLOOKUP(A293,Employees!A:Q,10,0),"")="NULL","",IF(A293&lt;&gt;"",VLOOKUP(A293,Employees!A:Q,10,0),""))</f>
        <v/>
      </c>
      <c r="H293" t="str">
        <f>IF(IF(A293&lt;&gt;"",VLOOKUP(A293,Employees!A:Q,11,0),"")="NULL","",IF(A293&lt;&gt;"",VLOOKUP(A293,Employees!A:Q,11,0),""))</f>
        <v/>
      </c>
      <c r="I293" s="25" t="str">
        <f>IFERROR(VALUE(IF(IF(A293&lt;&gt;"",VLOOKUP(A293,Employees!A:Q,12,0),"")="NULL","",IF(A293&lt;&gt;"",VLOOKUP(A293,Employees!A:Q,12,0),""))),"")</f>
        <v/>
      </c>
      <c r="J293" t="str">
        <f>IF(IF(A293&lt;&gt;"",VLOOKUP(A293,Employees!A:Q,14,0),"")="NULL","",IF(A293&lt;&gt;"",VLOOKUP(A293,Employees!A:Q,14,0),""))</f>
        <v/>
      </c>
    </row>
    <row r="294" spans="2:10" x14ac:dyDescent="0.25">
      <c r="B294" t="str">
        <f>IF(A294&lt;&gt;"",VLOOKUP(A294,Employees!A:Q,2,0),"")</f>
        <v/>
      </c>
      <c r="C294" t="str">
        <f>IF(A294&lt;&gt;"",VLOOKUP(A294,Employees!A:Q,3,0),"")</f>
        <v/>
      </c>
      <c r="D294" s="17" t="str">
        <f>IF(IF(A294&lt;&gt;"",VLOOKUP(A294,Employees!A:Q,4,0),"")="NULL","",IF(A294&lt;&gt;"",VLOOKUP(A294,Employees!A:Q,4,0),""))</f>
        <v/>
      </c>
      <c r="E294" s="17" t="str">
        <f>IF(IF(A294&lt;&gt;"",VLOOKUP(A294,Employees!A:Q,5,0),"")="NULL","",IF(A294&lt;&gt;"",VLOOKUP(A294,Employees!A:Q,5,0),""))</f>
        <v/>
      </c>
      <c r="F294" t="str">
        <f>IF(IF(A294&lt;&gt;"",VLOOKUP(A294,Employees!A:Q,9,0),"")="NULL","",IF(A294&lt;&gt;"",VLOOKUP(A294,Employees!A:Q,9,0),""))</f>
        <v/>
      </c>
      <c r="G294" t="str">
        <f>IF(IF(A294&lt;&gt;"",VLOOKUP(A294,Employees!A:Q,10,0),"")="NULL","",IF(A294&lt;&gt;"",VLOOKUP(A294,Employees!A:Q,10,0),""))</f>
        <v/>
      </c>
      <c r="H294" t="str">
        <f>IF(IF(A294&lt;&gt;"",VLOOKUP(A294,Employees!A:Q,11,0),"")="NULL","",IF(A294&lt;&gt;"",VLOOKUP(A294,Employees!A:Q,11,0),""))</f>
        <v/>
      </c>
      <c r="I294" s="25" t="str">
        <f>IFERROR(VALUE(IF(IF(A294&lt;&gt;"",VLOOKUP(A294,Employees!A:Q,12,0),"")="NULL","",IF(A294&lt;&gt;"",VLOOKUP(A294,Employees!A:Q,12,0),""))),"")</f>
        <v/>
      </c>
      <c r="J294" t="str">
        <f>IF(IF(A294&lt;&gt;"",VLOOKUP(A294,Employees!A:Q,14,0),"")="NULL","",IF(A294&lt;&gt;"",VLOOKUP(A294,Employees!A:Q,14,0),""))</f>
        <v/>
      </c>
    </row>
    <row r="295" spans="2:10" x14ac:dyDescent="0.25">
      <c r="B295" t="str">
        <f>IF(A295&lt;&gt;"",VLOOKUP(A295,Employees!A:Q,2,0),"")</f>
        <v/>
      </c>
      <c r="C295" t="str">
        <f>IF(A295&lt;&gt;"",VLOOKUP(A295,Employees!A:Q,3,0),"")</f>
        <v/>
      </c>
      <c r="D295" s="17" t="str">
        <f>IF(IF(A295&lt;&gt;"",VLOOKUP(A295,Employees!A:Q,4,0),"")="NULL","",IF(A295&lt;&gt;"",VLOOKUP(A295,Employees!A:Q,4,0),""))</f>
        <v/>
      </c>
      <c r="E295" s="17" t="str">
        <f>IF(IF(A295&lt;&gt;"",VLOOKUP(A295,Employees!A:Q,5,0),"")="NULL","",IF(A295&lt;&gt;"",VLOOKUP(A295,Employees!A:Q,5,0),""))</f>
        <v/>
      </c>
      <c r="F295" t="str">
        <f>IF(IF(A295&lt;&gt;"",VLOOKUP(A295,Employees!A:Q,9,0),"")="NULL","",IF(A295&lt;&gt;"",VLOOKUP(A295,Employees!A:Q,9,0),""))</f>
        <v/>
      </c>
      <c r="G295" t="str">
        <f>IF(IF(A295&lt;&gt;"",VLOOKUP(A295,Employees!A:Q,10,0),"")="NULL","",IF(A295&lt;&gt;"",VLOOKUP(A295,Employees!A:Q,10,0),""))</f>
        <v/>
      </c>
      <c r="H295" t="str">
        <f>IF(IF(A295&lt;&gt;"",VLOOKUP(A295,Employees!A:Q,11,0),"")="NULL","",IF(A295&lt;&gt;"",VLOOKUP(A295,Employees!A:Q,11,0),""))</f>
        <v/>
      </c>
      <c r="I295" s="25" t="str">
        <f>IFERROR(VALUE(IF(IF(A295&lt;&gt;"",VLOOKUP(A295,Employees!A:Q,12,0),"")="NULL","",IF(A295&lt;&gt;"",VLOOKUP(A295,Employees!A:Q,12,0),""))),"")</f>
        <v/>
      </c>
      <c r="J295" t="str">
        <f>IF(IF(A295&lt;&gt;"",VLOOKUP(A295,Employees!A:Q,14,0),"")="NULL","",IF(A295&lt;&gt;"",VLOOKUP(A295,Employees!A:Q,14,0),""))</f>
        <v/>
      </c>
    </row>
    <row r="296" spans="2:10" x14ac:dyDescent="0.25">
      <c r="B296" t="str">
        <f>IF(A296&lt;&gt;"",VLOOKUP(A296,Employees!A:Q,2,0),"")</f>
        <v/>
      </c>
      <c r="C296" t="str">
        <f>IF(A296&lt;&gt;"",VLOOKUP(A296,Employees!A:Q,3,0),"")</f>
        <v/>
      </c>
      <c r="D296" s="17" t="str">
        <f>IF(IF(A296&lt;&gt;"",VLOOKUP(A296,Employees!A:Q,4,0),"")="NULL","",IF(A296&lt;&gt;"",VLOOKUP(A296,Employees!A:Q,4,0),""))</f>
        <v/>
      </c>
      <c r="E296" s="17" t="str">
        <f>IF(IF(A296&lt;&gt;"",VLOOKUP(A296,Employees!A:Q,5,0),"")="NULL","",IF(A296&lt;&gt;"",VLOOKUP(A296,Employees!A:Q,5,0),""))</f>
        <v/>
      </c>
      <c r="F296" t="str">
        <f>IF(IF(A296&lt;&gt;"",VLOOKUP(A296,Employees!A:Q,9,0),"")="NULL","",IF(A296&lt;&gt;"",VLOOKUP(A296,Employees!A:Q,9,0),""))</f>
        <v/>
      </c>
      <c r="G296" t="str">
        <f>IF(IF(A296&lt;&gt;"",VLOOKUP(A296,Employees!A:Q,10,0),"")="NULL","",IF(A296&lt;&gt;"",VLOOKUP(A296,Employees!A:Q,10,0),""))</f>
        <v/>
      </c>
      <c r="H296" t="str">
        <f>IF(IF(A296&lt;&gt;"",VLOOKUP(A296,Employees!A:Q,11,0),"")="NULL","",IF(A296&lt;&gt;"",VLOOKUP(A296,Employees!A:Q,11,0),""))</f>
        <v/>
      </c>
      <c r="I296" s="25" t="str">
        <f>IFERROR(VALUE(IF(IF(A296&lt;&gt;"",VLOOKUP(A296,Employees!A:Q,12,0),"")="NULL","",IF(A296&lt;&gt;"",VLOOKUP(A296,Employees!A:Q,12,0),""))),"")</f>
        <v/>
      </c>
      <c r="J296" t="str">
        <f>IF(IF(A296&lt;&gt;"",VLOOKUP(A296,Employees!A:Q,14,0),"")="NULL","",IF(A296&lt;&gt;"",VLOOKUP(A296,Employees!A:Q,14,0),""))</f>
        <v/>
      </c>
    </row>
    <row r="297" spans="2:10" x14ac:dyDescent="0.25">
      <c r="B297" t="str">
        <f>IF(A297&lt;&gt;"",VLOOKUP(A297,Employees!A:Q,2,0),"")</f>
        <v/>
      </c>
      <c r="C297" t="str">
        <f>IF(A297&lt;&gt;"",VLOOKUP(A297,Employees!A:Q,3,0),"")</f>
        <v/>
      </c>
      <c r="D297" s="17" t="str">
        <f>IF(IF(A297&lt;&gt;"",VLOOKUP(A297,Employees!A:Q,4,0),"")="NULL","",IF(A297&lt;&gt;"",VLOOKUP(A297,Employees!A:Q,4,0),""))</f>
        <v/>
      </c>
      <c r="E297" s="17" t="str">
        <f>IF(IF(A297&lt;&gt;"",VLOOKUP(A297,Employees!A:Q,5,0),"")="NULL","",IF(A297&lt;&gt;"",VLOOKUP(A297,Employees!A:Q,5,0),""))</f>
        <v/>
      </c>
      <c r="F297" t="str">
        <f>IF(IF(A297&lt;&gt;"",VLOOKUP(A297,Employees!A:Q,9,0),"")="NULL","",IF(A297&lt;&gt;"",VLOOKUP(A297,Employees!A:Q,9,0),""))</f>
        <v/>
      </c>
      <c r="G297" t="str">
        <f>IF(IF(A297&lt;&gt;"",VLOOKUP(A297,Employees!A:Q,10,0),"")="NULL","",IF(A297&lt;&gt;"",VLOOKUP(A297,Employees!A:Q,10,0),""))</f>
        <v/>
      </c>
      <c r="H297" t="str">
        <f>IF(IF(A297&lt;&gt;"",VLOOKUP(A297,Employees!A:Q,11,0),"")="NULL","",IF(A297&lt;&gt;"",VLOOKUP(A297,Employees!A:Q,11,0),""))</f>
        <v/>
      </c>
      <c r="I297" s="25" t="str">
        <f>IFERROR(VALUE(IF(IF(A297&lt;&gt;"",VLOOKUP(A297,Employees!A:Q,12,0),"")="NULL","",IF(A297&lt;&gt;"",VLOOKUP(A297,Employees!A:Q,12,0),""))),"")</f>
        <v/>
      </c>
      <c r="J297" t="str">
        <f>IF(IF(A297&lt;&gt;"",VLOOKUP(A297,Employees!A:Q,14,0),"")="NULL","",IF(A297&lt;&gt;"",VLOOKUP(A297,Employees!A:Q,14,0),""))</f>
        <v/>
      </c>
    </row>
    <row r="298" spans="2:10" x14ac:dyDescent="0.25">
      <c r="B298" t="str">
        <f>IF(A298&lt;&gt;"",VLOOKUP(A298,Employees!A:Q,2,0),"")</f>
        <v/>
      </c>
      <c r="C298" t="str">
        <f>IF(A298&lt;&gt;"",VLOOKUP(A298,Employees!A:Q,3,0),"")</f>
        <v/>
      </c>
      <c r="D298" s="17" t="str">
        <f>IF(IF(A298&lt;&gt;"",VLOOKUP(A298,Employees!A:Q,4,0),"")="NULL","",IF(A298&lt;&gt;"",VLOOKUP(A298,Employees!A:Q,4,0),""))</f>
        <v/>
      </c>
      <c r="E298" s="17" t="str">
        <f>IF(IF(A298&lt;&gt;"",VLOOKUP(A298,Employees!A:Q,5,0),"")="NULL","",IF(A298&lt;&gt;"",VLOOKUP(A298,Employees!A:Q,5,0),""))</f>
        <v/>
      </c>
      <c r="F298" t="str">
        <f>IF(IF(A298&lt;&gt;"",VLOOKUP(A298,Employees!A:Q,9,0),"")="NULL","",IF(A298&lt;&gt;"",VLOOKUP(A298,Employees!A:Q,9,0),""))</f>
        <v/>
      </c>
      <c r="G298" t="str">
        <f>IF(IF(A298&lt;&gt;"",VLOOKUP(A298,Employees!A:Q,10,0),"")="NULL","",IF(A298&lt;&gt;"",VLOOKUP(A298,Employees!A:Q,10,0),""))</f>
        <v/>
      </c>
      <c r="H298" t="str">
        <f>IF(IF(A298&lt;&gt;"",VLOOKUP(A298,Employees!A:Q,11,0),"")="NULL","",IF(A298&lt;&gt;"",VLOOKUP(A298,Employees!A:Q,11,0),""))</f>
        <v/>
      </c>
      <c r="I298" s="25" t="str">
        <f>IFERROR(VALUE(IF(IF(A298&lt;&gt;"",VLOOKUP(A298,Employees!A:Q,12,0),"")="NULL","",IF(A298&lt;&gt;"",VLOOKUP(A298,Employees!A:Q,12,0),""))),"")</f>
        <v/>
      </c>
      <c r="J298" t="str">
        <f>IF(IF(A298&lt;&gt;"",VLOOKUP(A298,Employees!A:Q,14,0),"")="NULL","",IF(A298&lt;&gt;"",VLOOKUP(A298,Employees!A:Q,14,0),""))</f>
        <v/>
      </c>
    </row>
    <row r="299" spans="2:10" x14ac:dyDescent="0.25">
      <c r="B299" t="str">
        <f>IF(A299&lt;&gt;"",VLOOKUP(A299,Employees!A:Q,2,0),"")</f>
        <v/>
      </c>
      <c r="C299" t="str">
        <f>IF(A299&lt;&gt;"",VLOOKUP(A299,Employees!A:Q,3,0),"")</f>
        <v/>
      </c>
      <c r="D299" s="17" t="str">
        <f>IF(IF(A299&lt;&gt;"",VLOOKUP(A299,Employees!A:Q,4,0),"")="NULL","",IF(A299&lt;&gt;"",VLOOKUP(A299,Employees!A:Q,4,0),""))</f>
        <v/>
      </c>
      <c r="E299" s="17" t="str">
        <f>IF(IF(A299&lt;&gt;"",VLOOKUP(A299,Employees!A:Q,5,0),"")="NULL","",IF(A299&lt;&gt;"",VLOOKUP(A299,Employees!A:Q,5,0),""))</f>
        <v/>
      </c>
      <c r="F299" t="str">
        <f>IF(IF(A299&lt;&gt;"",VLOOKUP(A299,Employees!A:Q,9,0),"")="NULL","",IF(A299&lt;&gt;"",VLOOKUP(A299,Employees!A:Q,9,0),""))</f>
        <v/>
      </c>
      <c r="G299" t="str">
        <f>IF(IF(A299&lt;&gt;"",VLOOKUP(A299,Employees!A:Q,10,0),"")="NULL","",IF(A299&lt;&gt;"",VLOOKUP(A299,Employees!A:Q,10,0),""))</f>
        <v/>
      </c>
      <c r="H299" t="str">
        <f>IF(IF(A299&lt;&gt;"",VLOOKUP(A299,Employees!A:Q,11,0),"")="NULL","",IF(A299&lt;&gt;"",VLOOKUP(A299,Employees!A:Q,11,0),""))</f>
        <v/>
      </c>
      <c r="I299" s="25" t="str">
        <f>IFERROR(VALUE(IF(IF(A299&lt;&gt;"",VLOOKUP(A299,Employees!A:Q,12,0),"")="NULL","",IF(A299&lt;&gt;"",VLOOKUP(A299,Employees!A:Q,12,0),""))),"")</f>
        <v/>
      </c>
      <c r="J299" t="str">
        <f>IF(IF(A299&lt;&gt;"",VLOOKUP(A299,Employees!A:Q,14,0),"")="NULL","",IF(A299&lt;&gt;"",VLOOKUP(A299,Employees!A:Q,14,0),""))</f>
        <v/>
      </c>
    </row>
    <row r="300" spans="2:10" x14ac:dyDescent="0.25">
      <c r="B300" t="str">
        <f>IF(A300&lt;&gt;"",VLOOKUP(A300,Employees!A:Q,2,0),"")</f>
        <v/>
      </c>
      <c r="C300" t="str">
        <f>IF(A300&lt;&gt;"",VLOOKUP(A300,Employees!A:Q,3,0),"")</f>
        <v/>
      </c>
      <c r="D300" s="17" t="str">
        <f>IF(IF(A300&lt;&gt;"",VLOOKUP(A300,Employees!A:Q,4,0),"")="NULL","",IF(A300&lt;&gt;"",VLOOKUP(A300,Employees!A:Q,4,0),""))</f>
        <v/>
      </c>
      <c r="E300" s="17" t="str">
        <f>IF(IF(A300&lt;&gt;"",VLOOKUP(A300,Employees!A:Q,5,0),"")="NULL","",IF(A300&lt;&gt;"",VLOOKUP(A300,Employees!A:Q,5,0),""))</f>
        <v/>
      </c>
      <c r="F300" t="str">
        <f>IF(IF(A300&lt;&gt;"",VLOOKUP(A300,Employees!A:Q,9,0),"")="NULL","",IF(A300&lt;&gt;"",VLOOKUP(A300,Employees!A:Q,9,0),""))</f>
        <v/>
      </c>
      <c r="G300" t="str">
        <f>IF(IF(A300&lt;&gt;"",VLOOKUP(A300,Employees!A:Q,10,0),"")="NULL","",IF(A300&lt;&gt;"",VLOOKUP(A300,Employees!A:Q,10,0),""))</f>
        <v/>
      </c>
      <c r="H300" t="str">
        <f>IF(IF(A300&lt;&gt;"",VLOOKUP(A300,Employees!A:Q,11,0),"")="NULL","",IF(A300&lt;&gt;"",VLOOKUP(A300,Employees!A:Q,11,0),""))</f>
        <v/>
      </c>
      <c r="I300" s="25" t="str">
        <f>IFERROR(VALUE(IF(IF(A300&lt;&gt;"",VLOOKUP(A300,Employees!A:Q,12,0),"")="NULL","",IF(A300&lt;&gt;"",VLOOKUP(A300,Employees!A:Q,12,0),""))),"")</f>
        <v/>
      </c>
      <c r="J300" t="str">
        <f>IF(IF(A300&lt;&gt;"",VLOOKUP(A300,Employees!A:Q,14,0),"")="NULL","",IF(A300&lt;&gt;"",VLOOKUP(A300,Employees!A:Q,14,0),""))</f>
        <v/>
      </c>
    </row>
    <row r="301" spans="2:10" x14ac:dyDescent="0.25">
      <c r="B301" t="str">
        <f>IF(A301&lt;&gt;"",VLOOKUP(A301,Employees!A:Q,2,0),"")</f>
        <v/>
      </c>
      <c r="C301" t="str">
        <f>IF(A301&lt;&gt;"",VLOOKUP(A301,Employees!A:Q,3,0),"")</f>
        <v/>
      </c>
      <c r="D301" s="17" t="str">
        <f>IF(IF(A301&lt;&gt;"",VLOOKUP(A301,Employees!A:Q,4,0),"")="NULL","",IF(A301&lt;&gt;"",VLOOKUP(A301,Employees!A:Q,4,0),""))</f>
        <v/>
      </c>
      <c r="E301" s="17" t="str">
        <f>IF(IF(A301&lt;&gt;"",VLOOKUP(A301,Employees!A:Q,5,0),"")="NULL","",IF(A301&lt;&gt;"",VLOOKUP(A301,Employees!A:Q,5,0),""))</f>
        <v/>
      </c>
      <c r="F301" t="str">
        <f>IF(IF(A301&lt;&gt;"",VLOOKUP(A301,Employees!A:Q,9,0),"")="NULL","",IF(A301&lt;&gt;"",VLOOKUP(A301,Employees!A:Q,9,0),""))</f>
        <v/>
      </c>
      <c r="G301" t="str">
        <f>IF(IF(A301&lt;&gt;"",VLOOKUP(A301,Employees!A:Q,10,0),"")="NULL","",IF(A301&lt;&gt;"",VLOOKUP(A301,Employees!A:Q,10,0),""))</f>
        <v/>
      </c>
      <c r="H301" t="str">
        <f>IF(IF(A301&lt;&gt;"",VLOOKUP(A301,Employees!A:Q,11,0),"")="NULL","",IF(A301&lt;&gt;"",VLOOKUP(A301,Employees!A:Q,11,0),""))</f>
        <v/>
      </c>
      <c r="I301" s="25" t="str">
        <f>IFERROR(VALUE(IF(IF(A301&lt;&gt;"",VLOOKUP(A301,Employees!A:Q,12,0),"")="NULL","",IF(A301&lt;&gt;"",VLOOKUP(A301,Employees!A:Q,12,0),""))),"")</f>
        <v/>
      </c>
      <c r="J301" t="str">
        <f>IF(IF(A301&lt;&gt;"",VLOOKUP(A301,Employees!A:Q,14,0),"")="NULL","",IF(A301&lt;&gt;"",VLOOKUP(A301,Employees!A:Q,14,0),""))</f>
        <v/>
      </c>
    </row>
    <row r="302" spans="2:10" x14ac:dyDescent="0.25">
      <c r="B302" t="str">
        <f>IF(A302&lt;&gt;"",VLOOKUP(A302,Employees!A:Q,2,0),"")</f>
        <v/>
      </c>
      <c r="C302" t="str">
        <f>IF(A302&lt;&gt;"",VLOOKUP(A302,Employees!A:Q,3,0),"")</f>
        <v/>
      </c>
      <c r="D302" s="17" t="str">
        <f>IF(IF(A302&lt;&gt;"",VLOOKUP(A302,Employees!A:Q,4,0),"")="NULL","",IF(A302&lt;&gt;"",VLOOKUP(A302,Employees!A:Q,4,0),""))</f>
        <v/>
      </c>
      <c r="E302" s="17" t="str">
        <f>IF(IF(A302&lt;&gt;"",VLOOKUP(A302,Employees!A:Q,5,0),"")="NULL","",IF(A302&lt;&gt;"",VLOOKUP(A302,Employees!A:Q,5,0),""))</f>
        <v/>
      </c>
      <c r="F302" t="str">
        <f>IF(IF(A302&lt;&gt;"",VLOOKUP(A302,Employees!A:Q,9,0),"")="NULL","",IF(A302&lt;&gt;"",VLOOKUP(A302,Employees!A:Q,9,0),""))</f>
        <v/>
      </c>
      <c r="G302" t="str">
        <f>IF(IF(A302&lt;&gt;"",VLOOKUP(A302,Employees!A:Q,10,0),"")="NULL","",IF(A302&lt;&gt;"",VLOOKUP(A302,Employees!A:Q,10,0),""))</f>
        <v/>
      </c>
      <c r="H302" t="str">
        <f>IF(IF(A302&lt;&gt;"",VLOOKUP(A302,Employees!A:Q,11,0),"")="NULL","",IF(A302&lt;&gt;"",VLOOKUP(A302,Employees!A:Q,11,0),""))</f>
        <v/>
      </c>
      <c r="I302" s="25" t="str">
        <f>IFERROR(VALUE(IF(IF(A302&lt;&gt;"",VLOOKUP(A302,Employees!A:Q,12,0),"")="NULL","",IF(A302&lt;&gt;"",VLOOKUP(A302,Employees!A:Q,12,0),""))),"")</f>
        <v/>
      </c>
      <c r="J302" t="str">
        <f>IF(IF(A302&lt;&gt;"",VLOOKUP(A302,Employees!A:Q,14,0),"")="NULL","",IF(A302&lt;&gt;"",VLOOKUP(A302,Employees!A:Q,14,0),""))</f>
        <v/>
      </c>
    </row>
    <row r="303" spans="2:10" x14ac:dyDescent="0.25">
      <c r="B303" t="str">
        <f>IF(A303&lt;&gt;"",VLOOKUP(A303,Employees!A:Q,2,0),"")</f>
        <v/>
      </c>
      <c r="C303" t="str">
        <f>IF(A303&lt;&gt;"",VLOOKUP(A303,Employees!A:Q,3,0),"")</f>
        <v/>
      </c>
      <c r="D303" s="17" t="str">
        <f>IF(IF(A303&lt;&gt;"",VLOOKUP(A303,Employees!A:Q,4,0),"")="NULL","",IF(A303&lt;&gt;"",VLOOKUP(A303,Employees!A:Q,4,0),""))</f>
        <v/>
      </c>
      <c r="E303" s="17" t="str">
        <f>IF(IF(A303&lt;&gt;"",VLOOKUP(A303,Employees!A:Q,5,0),"")="NULL","",IF(A303&lt;&gt;"",VLOOKUP(A303,Employees!A:Q,5,0),""))</f>
        <v/>
      </c>
      <c r="F303" t="str">
        <f>IF(IF(A303&lt;&gt;"",VLOOKUP(A303,Employees!A:Q,9,0),"")="NULL","",IF(A303&lt;&gt;"",VLOOKUP(A303,Employees!A:Q,9,0),""))</f>
        <v/>
      </c>
      <c r="G303" t="str">
        <f>IF(IF(A303&lt;&gt;"",VLOOKUP(A303,Employees!A:Q,10,0),"")="NULL","",IF(A303&lt;&gt;"",VLOOKUP(A303,Employees!A:Q,10,0),""))</f>
        <v/>
      </c>
      <c r="H303" t="str">
        <f>IF(IF(A303&lt;&gt;"",VLOOKUP(A303,Employees!A:Q,11,0),"")="NULL","",IF(A303&lt;&gt;"",VLOOKUP(A303,Employees!A:Q,11,0),""))</f>
        <v/>
      </c>
      <c r="I303" s="25" t="str">
        <f>IFERROR(VALUE(IF(IF(A303&lt;&gt;"",VLOOKUP(A303,Employees!A:Q,12,0),"")="NULL","",IF(A303&lt;&gt;"",VLOOKUP(A303,Employees!A:Q,12,0),""))),"")</f>
        <v/>
      </c>
      <c r="J303" t="str">
        <f>IF(IF(A303&lt;&gt;"",VLOOKUP(A303,Employees!A:Q,14,0),"")="NULL","",IF(A303&lt;&gt;"",VLOOKUP(A303,Employees!A:Q,14,0),""))</f>
        <v/>
      </c>
    </row>
    <row r="304" spans="2:10" x14ac:dyDescent="0.25">
      <c r="B304" t="str">
        <f>IF(A304&lt;&gt;"",VLOOKUP(A304,Employees!A:Q,2,0),"")</f>
        <v/>
      </c>
      <c r="C304" t="str">
        <f>IF(A304&lt;&gt;"",VLOOKUP(A304,Employees!A:Q,3,0),"")</f>
        <v/>
      </c>
      <c r="D304" s="17" t="str">
        <f>IF(IF(A304&lt;&gt;"",VLOOKUP(A304,Employees!A:Q,4,0),"")="NULL","",IF(A304&lt;&gt;"",VLOOKUP(A304,Employees!A:Q,4,0),""))</f>
        <v/>
      </c>
      <c r="E304" s="17" t="str">
        <f>IF(IF(A304&lt;&gt;"",VLOOKUP(A304,Employees!A:Q,5,0),"")="NULL","",IF(A304&lt;&gt;"",VLOOKUP(A304,Employees!A:Q,5,0),""))</f>
        <v/>
      </c>
      <c r="F304" t="str">
        <f>IF(IF(A304&lt;&gt;"",VLOOKUP(A304,Employees!A:Q,9,0),"")="NULL","",IF(A304&lt;&gt;"",VLOOKUP(A304,Employees!A:Q,9,0),""))</f>
        <v/>
      </c>
      <c r="G304" t="str">
        <f>IF(IF(A304&lt;&gt;"",VLOOKUP(A304,Employees!A:Q,10,0),"")="NULL","",IF(A304&lt;&gt;"",VLOOKUP(A304,Employees!A:Q,10,0),""))</f>
        <v/>
      </c>
      <c r="H304" t="str">
        <f>IF(IF(A304&lt;&gt;"",VLOOKUP(A304,Employees!A:Q,11,0),"")="NULL","",IF(A304&lt;&gt;"",VLOOKUP(A304,Employees!A:Q,11,0),""))</f>
        <v/>
      </c>
      <c r="I304" s="25" t="str">
        <f>IFERROR(VALUE(IF(IF(A304&lt;&gt;"",VLOOKUP(A304,Employees!A:Q,12,0),"")="NULL","",IF(A304&lt;&gt;"",VLOOKUP(A304,Employees!A:Q,12,0),""))),"")</f>
        <v/>
      </c>
      <c r="J304" t="str">
        <f>IF(IF(A304&lt;&gt;"",VLOOKUP(A304,Employees!A:Q,14,0),"")="NULL","",IF(A304&lt;&gt;"",VLOOKUP(A304,Employees!A:Q,14,0),""))</f>
        <v/>
      </c>
    </row>
    <row r="305" spans="2:10" x14ac:dyDescent="0.25">
      <c r="B305" t="str">
        <f>IF(A305&lt;&gt;"",VLOOKUP(A305,Employees!A:Q,2,0),"")</f>
        <v/>
      </c>
      <c r="C305" t="str">
        <f>IF(A305&lt;&gt;"",VLOOKUP(A305,Employees!A:Q,3,0),"")</f>
        <v/>
      </c>
      <c r="D305" s="17" t="str">
        <f>IF(IF(A305&lt;&gt;"",VLOOKUP(A305,Employees!A:Q,4,0),"")="NULL","",IF(A305&lt;&gt;"",VLOOKUP(A305,Employees!A:Q,4,0),""))</f>
        <v/>
      </c>
      <c r="E305" s="17" t="str">
        <f>IF(IF(A305&lt;&gt;"",VLOOKUP(A305,Employees!A:Q,5,0),"")="NULL","",IF(A305&lt;&gt;"",VLOOKUP(A305,Employees!A:Q,5,0),""))</f>
        <v/>
      </c>
      <c r="F305" t="str">
        <f>IF(IF(A305&lt;&gt;"",VLOOKUP(A305,Employees!A:Q,9,0),"")="NULL","",IF(A305&lt;&gt;"",VLOOKUP(A305,Employees!A:Q,9,0),""))</f>
        <v/>
      </c>
      <c r="G305" t="str">
        <f>IF(IF(A305&lt;&gt;"",VLOOKUP(A305,Employees!A:Q,10,0),"")="NULL","",IF(A305&lt;&gt;"",VLOOKUP(A305,Employees!A:Q,10,0),""))</f>
        <v/>
      </c>
      <c r="H305" t="str">
        <f>IF(IF(A305&lt;&gt;"",VLOOKUP(A305,Employees!A:Q,11,0),"")="NULL","",IF(A305&lt;&gt;"",VLOOKUP(A305,Employees!A:Q,11,0),""))</f>
        <v/>
      </c>
      <c r="I305" s="25" t="str">
        <f>IFERROR(VALUE(IF(IF(A305&lt;&gt;"",VLOOKUP(A305,Employees!A:Q,12,0),"")="NULL","",IF(A305&lt;&gt;"",VLOOKUP(A305,Employees!A:Q,12,0),""))),"")</f>
        <v/>
      </c>
      <c r="J305" t="str">
        <f>IF(IF(A305&lt;&gt;"",VLOOKUP(A305,Employees!A:Q,14,0),"")="NULL","",IF(A305&lt;&gt;"",VLOOKUP(A305,Employees!A:Q,14,0),""))</f>
        <v/>
      </c>
    </row>
    <row r="306" spans="2:10" x14ac:dyDescent="0.25">
      <c r="B306" t="str">
        <f>IF(A306&lt;&gt;"",VLOOKUP(A306,Employees!A:Q,2,0),"")</f>
        <v/>
      </c>
      <c r="C306" t="str">
        <f>IF(A306&lt;&gt;"",VLOOKUP(A306,Employees!A:Q,3,0),"")</f>
        <v/>
      </c>
      <c r="D306" s="17" t="str">
        <f>IF(IF(A306&lt;&gt;"",VLOOKUP(A306,Employees!A:Q,4,0),"")="NULL","",IF(A306&lt;&gt;"",VLOOKUP(A306,Employees!A:Q,4,0),""))</f>
        <v/>
      </c>
      <c r="E306" s="17" t="str">
        <f>IF(IF(A306&lt;&gt;"",VLOOKUP(A306,Employees!A:Q,5,0),"")="NULL","",IF(A306&lt;&gt;"",VLOOKUP(A306,Employees!A:Q,5,0),""))</f>
        <v/>
      </c>
      <c r="F306" t="str">
        <f>IF(IF(A306&lt;&gt;"",VLOOKUP(A306,Employees!A:Q,9,0),"")="NULL","",IF(A306&lt;&gt;"",VLOOKUP(A306,Employees!A:Q,9,0),""))</f>
        <v/>
      </c>
      <c r="G306" t="str">
        <f>IF(IF(A306&lt;&gt;"",VLOOKUP(A306,Employees!A:Q,10,0),"")="NULL","",IF(A306&lt;&gt;"",VLOOKUP(A306,Employees!A:Q,10,0),""))</f>
        <v/>
      </c>
      <c r="H306" t="str">
        <f>IF(IF(A306&lt;&gt;"",VLOOKUP(A306,Employees!A:Q,11,0),"")="NULL","",IF(A306&lt;&gt;"",VLOOKUP(A306,Employees!A:Q,11,0),""))</f>
        <v/>
      </c>
      <c r="I306" s="25" t="str">
        <f>IFERROR(VALUE(IF(IF(A306&lt;&gt;"",VLOOKUP(A306,Employees!A:Q,12,0),"")="NULL","",IF(A306&lt;&gt;"",VLOOKUP(A306,Employees!A:Q,12,0),""))),"")</f>
        <v/>
      </c>
      <c r="J306" t="str">
        <f>IF(IF(A306&lt;&gt;"",VLOOKUP(A306,Employees!A:Q,14,0),"")="NULL","",IF(A306&lt;&gt;"",VLOOKUP(A306,Employees!A:Q,14,0),""))</f>
        <v/>
      </c>
    </row>
    <row r="307" spans="2:10" x14ac:dyDescent="0.25">
      <c r="B307" t="str">
        <f>IF(A307&lt;&gt;"",VLOOKUP(A307,Employees!A:Q,2,0),"")</f>
        <v/>
      </c>
      <c r="C307" t="str">
        <f>IF(A307&lt;&gt;"",VLOOKUP(A307,Employees!A:Q,3,0),"")</f>
        <v/>
      </c>
      <c r="D307" s="17" t="str">
        <f>IF(IF(A307&lt;&gt;"",VLOOKUP(A307,Employees!A:Q,4,0),"")="NULL","",IF(A307&lt;&gt;"",VLOOKUP(A307,Employees!A:Q,4,0),""))</f>
        <v/>
      </c>
      <c r="E307" s="17" t="str">
        <f>IF(IF(A307&lt;&gt;"",VLOOKUP(A307,Employees!A:Q,5,0),"")="NULL","",IF(A307&lt;&gt;"",VLOOKUP(A307,Employees!A:Q,5,0),""))</f>
        <v/>
      </c>
      <c r="F307" t="str">
        <f>IF(IF(A307&lt;&gt;"",VLOOKUP(A307,Employees!A:Q,9,0),"")="NULL","",IF(A307&lt;&gt;"",VLOOKUP(A307,Employees!A:Q,9,0),""))</f>
        <v/>
      </c>
      <c r="G307" t="str">
        <f>IF(IF(A307&lt;&gt;"",VLOOKUP(A307,Employees!A:Q,10,0),"")="NULL","",IF(A307&lt;&gt;"",VLOOKUP(A307,Employees!A:Q,10,0),""))</f>
        <v/>
      </c>
      <c r="H307" t="str">
        <f>IF(IF(A307&lt;&gt;"",VLOOKUP(A307,Employees!A:Q,11,0),"")="NULL","",IF(A307&lt;&gt;"",VLOOKUP(A307,Employees!A:Q,11,0),""))</f>
        <v/>
      </c>
      <c r="I307" s="25" t="str">
        <f>IFERROR(VALUE(IF(IF(A307&lt;&gt;"",VLOOKUP(A307,Employees!A:Q,12,0),"")="NULL","",IF(A307&lt;&gt;"",VLOOKUP(A307,Employees!A:Q,12,0),""))),"")</f>
        <v/>
      </c>
      <c r="J307" t="str">
        <f>IF(IF(A307&lt;&gt;"",VLOOKUP(A307,Employees!A:Q,14,0),"")="NULL","",IF(A307&lt;&gt;"",VLOOKUP(A307,Employees!A:Q,14,0),""))</f>
        <v/>
      </c>
    </row>
    <row r="308" spans="2:10" x14ac:dyDescent="0.25">
      <c r="B308" t="str">
        <f>IF(A308&lt;&gt;"",VLOOKUP(A308,Employees!A:Q,2,0),"")</f>
        <v/>
      </c>
      <c r="C308" t="str">
        <f>IF(A308&lt;&gt;"",VLOOKUP(A308,Employees!A:Q,3,0),"")</f>
        <v/>
      </c>
      <c r="D308" s="17" t="str">
        <f>IF(IF(A308&lt;&gt;"",VLOOKUP(A308,Employees!A:Q,4,0),"")="NULL","",IF(A308&lt;&gt;"",VLOOKUP(A308,Employees!A:Q,4,0),""))</f>
        <v/>
      </c>
      <c r="E308" s="17" t="str">
        <f>IF(IF(A308&lt;&gt;"",VLOOKUP(A308,Employees!A:Q,5,0),"")="NULL","",IF(A308&lt;&gt;"",VLOOKUP(A308,Employees!A:Q,5,0),""))</f>
        <v/>
      </c>
      <c r="F308" t="str">
        <f>IF(IF(A308&lt;&gt;"",VLOOKUP(A308,Employees!A:Q,9,0),"")="NULL","",IF(A308&lt;&gt;"",VLOOKUP(A308,Employees!A:Q,9,0),""))</f>
        <v/>
      </c>
      <c r="G308" t="str">
        <f>IF(IF(A308&lt;&gt;"",VLOOKUP(A308,Employees!A:Q,10,0),"")="NULL","",IF(A308&lt;&gt;"",VLOOKUP(A308,Employees!A:Q,10,0),""))</f>
        <v/>
      </c>
      <c r="H308" t="str">
        <f>IF(IF(A308&lt;&gt;"",VLOOKUP(A308,Employees!A:Q,11,0),"")="NULL","",IF(A308&lt;&gt;"",VLOOKUP(A308,Employees!A:Q,11,0),""))</f>
        <v/>
      </c>
      <c r="I308" s="25" t="str">
        <f>IFERROR(VALUE(IF(IF(A308&lt;&gt;"",VLOOKUP(A308,Employees!A:Q,12,0),"")="NULL","",IF(A308&lt;&gt;"",VLOOKUP(A308,Employees!A:Q,12,0),""))),"")</f>
        <v/>
      </c>
      <c r="J308" t="str">
        <f>IF(IF(A308&lt;&gt;"",VLOOKUP(A308,Employees!A:Q,14,0),"")="NULL","",IF(A308&lt;&gt;"",VLOOKUP(A308,Employees!A:Q,14,0),""))</f>
        <v/>
      </c>
    </row>
    <row r="309" spans="2:10" x14ac:dyDescent="0.25">
      <c r="B309" t="str">
        <f>IF(A309&lt;&gt;"",VLOOKUP(A309,Employees!A:Q,2,0),"")</f>
        <v/>
      </c>
      <c r="C309" t="str">
        <f>IF(A309&lt;&gt;"",VLOOKUP(A309,Employees!A:Q,3,0),"")</f>
        <v/>
      </c>
      <c r="D309" s="17" t="str">
        <f>IF(IF(A309&lt;&gt;"",VLOOKUP(A309,Employees!A:Q,4,0),"")="NULL","",IF(A309&lt;&gt;"",VLOOKUP(A309,Employees!A:Q,4,0),""))</f>
        <v/>
      </c>
      <c r="E309" s="17" t="str">
        <f>IF(IF(A309&lt;&gt;"",VLOOKUP(A309,Employees!A:Q,5,0),"")="NULL","",IF(A309&lt;&gt;"",VLOOKUP(A309,Employees!A:Q,5,0),""))</f>
        <v/>
      </c>
      <c r="F309" t="str">
        <f>IF(IF(A309&lt;&gt;"",VLOOKUP(A309,Employees!A:Q,9,0),"")="NULL","",IF(A309&lt;&gt;"",VLOOKUP(A309,Employees!A:Q,9,0),""))</f>
        <v/>
      </c>
      <c r="G309" t="str">
        <f>IF(IF(A309&lt;&gt;"",VLOOKUP(A309,Employees!A:Q,10,0),"")="NULL","",IF(A309&lt;&gt;"",VLOOKUP(A309,Employees!A:Q,10,0),""))</f>
        <v/>
      </c>
      <c r="H309" t="str">
        <f>IF(IF(A309&lt;&gt;"",VLOOKUP(A309,Employees!A:Q,11,0),"")="NULL","",IF(A309&lt;&gt;"",VLOOKUP(A309,Employees!A:Q,11,0),""))</f>
        <v/>
      </c>
      <c r="I309" s="25" t="str">
        <f>IFERROR(VALUE(IF(IF(A309&lt;&gt;"",VLOOKUP(A309,Employees!A:Q,12,0),"")="NULL","",IF(A309&lt;&gt;"",VLOOKUP(A309,Employees!A:Q,12,0),""))),"")</f>
        <v/>
      </c>
      <c r="J309" t="str">
        <f>IF(IF(A309&lt;&gt;"",VLOOKUP(A309,Employees!A:Q,14,0),"")="NULL","",IF(A309&lt;&gt;"",VLOOKUP(A309,Employees!A:Q,14,0),""))</f>
        <v/>
      </c>
    </row>
    <row r="310" spans="2:10" x14ac:dyDescent="0.25">
      <c r="B310" t="str">
        <f>IF(A310&lt;&gt;"",VLOOKUP(A310,Employees!A:Q,2,0),"")</f>
        <v/>
      </c>
      <c r="C310" t="str">
        <f>IF(A310&lt;&gt;"",VLOOKUP(A310,Employees!A:Q,3,0),"")</f>
        <v/>
      </c>
      <c r="D310" s="17" t="str">
        <f>IF(IF(A310&lt;&gt;"",VLOOKUP(A310,Employees!A:Q,4,0),"")="NULL","",IF(A310&lt;&gt;"",VLOOKUP(A310,Employees!A:Q,4,0),""))</f>
        <v/>
      </c>
      <c r="E310" s="17" t="str">
        <f>IF(IF(A310&lt;&gt;"",VLOOKUP(A310,Employees!A:Q,5,0),"")="NULL","",IF(A310&lt;&gt;"",VLOOKUP(A310,Employees!A:Q,5,0),""))</f>
        <v/>
      </c>
      <c r="F310" t="str">
        <f>IF(IF(A310&lt;&gt;"",VLOOKUP(A310,Employees!A:Q,9,0),"")="NULL","",IF(A310&lt;&gt;"",VLOOKUP(A310,Employees!A:Q,9,0),""))</f>
        <v/>
      </c>
      <c r="G310" t="str">
        <f>IF(IF(A310&lt;&gt;"",VLOOKUP(A310,Employees!A:Q,10,0),"")="NULL","",IF(A310&lt;&gt;"",VLOOKUP(A310,Employees!A:Q,10,0),""))</f>
        <v/>
      </c>
      <c r="H310" t="str">
        <f>IF(IF(A310&lt;&gt;"",VLOOKUP(A310,Employees!A:Q,11,0),"")="NULL","",IF(A310&lt;&gt;"",VLOOKUP(A310,Employees!A:Q,11,0),""))</f>
        <v/>
      </c>
      <c r="I310" s="25" t="str">
        <f>IFERROR(VALUE(IF(IF(A310&lt;&gt;"",VLOOKUP(A310,Employees!A:Q,12,0),"")="NULL","",IF(A310&lt;&gt;"",VLOOKUP(A310,Employees!A:Q,12,0),""))),"")</f>
        <v/>
      </c>
      <c r="J310" t="str">
        <f>IF(IF(A310&lt;&gt;"",VLOOKUP(A310,Employees!A:Q,14,0),"")="NULL","",IF(A310&lt;&gt;"",VLOOKUP(A310,Employees!A:Q,14,0),""))</f>
        <v/>
      </c>
    </row>
    <row r="311" spans="2:10" x14ac:dyDescent="0.25">
      <c r="B311" t="str">
        <f>IF(A311&lt;&gt;"",VLOOKUP(A311,Employees!A:Q,2,0),"")</f>
        <v/>
      </c>
      <c r="C311" t="str">
        <f>IF(A311&lt;&gt;"",VLOOKUP(A311,Employees!A:Q,3,0),"")</f>
        <v/>
      </c>
      <c r="D311" s="17" t="str">
        <f>IF(IF(A311&lt;&gt;"",VLOOKUP(A311,Employees!A:Q,4,0),"")="NULL","",IF(A311&lt;&gt;"",VLOOKUP(A311,Employees!A:Q,4,0),""))</f>
        <v/>
      </c>
      <c r="E311" s="17" t="str">
        <f>IF(IF(A311&lt;&gt;"",VLOOKUP(A311,Employees!A:Q,5,0),"")="NULL","",IF(A311&lt;&gt;"",VLOOKUP(A311,Employees!A:Q,5,0),""))</f>
        <v/>
      </c>
      <c r="F311" t="str">
        <f>IF(IF(A311&lt;&gt;"",VLOOKUP(A311,Employees!A:Q,9,0),"")="NULL","",IF(A311&lt;&gt;"",VLOOKUP(A311,Employees!A:Q,9,0),""))</f>
        <v/>
      </c>
      <c r="G311" t="str">
        <f>IF(IF(A311&lt;&gt;"",VLOOKUP(A311,Employees!A:Q,10,0),"")="NULL","",IF(A311&lt;&gt;"",VLOOKUP(A311,Employees!A:Q,10,0),""))</f>
        <v/>
      </c>
      <c r="H311" t="str">
        <f>IF(IF(A311&lt;&gt;"",VLOOKUP(A311,Employees!A:Q,11,0),"")="NULL","",IF(A311&lt;&gt;"",VLOOKUP(A311,Employees!A:Q,11,0),""))</f>
        <v/>
      </c>
      <c r="I311" s="25" t="str">
        <f>IFERROR(VALUE(IF(IF(A311&lt;&gt;"",VLOOKUP(A311,Employees!A:Q,12,0),"")="NULL","",IF(A311&lt;&gt;"",VLOOKUP(A311,Employees!A:Q,12,0),""))),"")</f>
        <v/>
      </c>
      <c r="J311" t="str">
        <f>IF(IF(A311&lt;&gt;"",VLOOKUP(A311,Employees!A:Q,14,0),"")="NULL","",IF(A311&lt;&gt;"",VLOOKUP(A311,Employees!A:Q,14,0),""))</f>
        <v/>
      </c>
    </row>
    <row r="312" spans="2:10" x14ac:dyDescent="0.25">
      <c r="B312" t="str">
        <f>IF(A312&lt;&gt;"",VLOOKUP(A312,Employees!A:Q,2,0),"")</f>
        <v/>
      </c>
      <c r="C312" t="str">
        <f>IF(A312&lt;&gt;"",VLOOKUP(A312,Employees!A:Q,3,0),"")</f>
        <v/>
      </c>
      <c r="D312" s="17" t="str">
        <f>IF(IF(A312&lt;&gt;"",VLOOKUP(A312,Employees!A:Q,4,0),"")="NULL","",IF(A312&lt;&gt;"",VLOOKUP(A312,Employees!A:Q,4,0),""))</f>
        <v/>
      </c>
      <c r="E312" s="17" t="str">
        <f>IF(IF(A312&lt;&gt;"",VLOOKUP(A312,Employees!A:Q,5,0),"")="NULL","",IF(A312&lt;&gt;"",VLOOKUP(A312,Employees!A:Q,5,0),""))</f>
        <v/>
      </c>
      <c r="F312" t="str">
        <f>IF(IF(A312&lt;&gt;"",VLOOKUP(A312,Employees!A:Q,9,0),"")="NULL","",IF(A312&lt;&gt;"",VLOOKUP(A312,Employees!A:Q,9,0),""))</f>
        <v/>
      </c>
      <c r="G312" t="str">
        <f>IF(IF(A312&lt;&gt;"",VLOOKUP(A312,Employees!A:Q,10,0),"")="NULL","",IF(A312&lt;&gt;"",VLOOKUP(A312,Employees!A:Q,10,0),""))</f>
        <v/>
      </c>
      <c r="H312" t="str">
        <f>IF(IF(A312&lt;&gt;"",VLOOKUP(A312,Employees!A:Q,11,0),"")="NULL","",IF(A312&lt;&gt;"",VLOOKUP(A312,Employees!A:Q,11,0),""))</f>
        <v/>
      </c>
      <c r="I312" s="25" t="str">
        <f>IFERROR(VALUE(IF(IF(A312&lt;&gt;"",VLOOKUP(A312,Employees!A:Q,12,0),"")="NULL","",IF(A312&lt;&gt;"",VLOOKUP(A312,Employees!A:Q,12,0),""))),"")</f>
        <v/>
      </c>
      <c r="J312" t="str">
        <f>IF(IF(A312&lt;&gt;"",VLOOKUP(A312,Employees!A:Q,14,0),"")="NULL","",IF(A312&lt;&gt;"",VLOOKUP(A312,Employees!A:Q,14,0),""))</f>
        <v/>
      </c>
    </row>
    <row r="313" spans="2:10" x14ac:dyDescent="0.25">
      <c r="B313" t="str">
        <f>IF(A313&lt;&gt;"",VLOOKUP(A313,Employees!A:Q,2,0),"")</f>
        <v/>
      </c>
      <c r="C313" t="str">
        <f>IF(A313&lt;&gt;"",VLOOKUP(A313,Employees!A:Q,3,0),"")</f>
        <v/>
      </c>
      <c r="D313" s="17" t="str">
        <f>IF(IF(A313&lt;&gt;"",VLOOKUP(A313,Employees!A:Q,4,0),"")="NULL","",IF(A313&lt;&gt;"",VLOOKUP(A313,Employees!A:Q,4,0),""))</f>
        <v/>
      </c>
      <c r="E313" s="17" t="str">
        <f>IF(IF(A313&lt;&gt;"",VLOOKUP(A313,Employees!A:Q,5,0),"")="NULL","",IF(A313&lt;&gt;"",VLOOKUP(A313,Employees!A:Q,5,0),""))</f>
        <v/>
      </c>
      <c r="F313" t="str">
        <f>IF(IF(A313&lt;&gt;"",VLOOKUP(A313,Employees!A:Q,9,0),"")="NULL","",IF(A313&lt;&gt;"",VLOOKUP(A313,Employees!A:Q,9,0),""))</f>
        <v/>
      </c>
      <c r="G313" t="str">
        <f>IF(IF(A313&lt;&gt;"",VLOOKUP(A313,Employees!A:Q,10,0),"")="NULL","",IF(A313&lt;&gt;"",VLOOKUP(A313,Employees!A:Q,10,0),""))</f>
        <v/>
      </c>
      <c r="H313" t="str">
        <f>IF(IF(A313&lt;&gt;"",VLOOKUP(A313,Employees!A:Q,11,0),"")="NULL","",IF(A313&lt;&gt;"",VLOOKUP(A313,Employees!A:Q,11,0),""))</f>
        <v/>
      </c>
      <c r="I313" s="25" t="str">
        <f>IFERROR(VALUE(IF(IF(A313&lt;&gt;"",VLOOKUP(A313,Employees!A:Q,12,0),"")="NULL","",IF(A313&lt;&gt;"",VLOOKUP(A313,Employees!A:Q,12,0),""))),"")</f>
        <v/>
      </c>
      <c r="J313" t="str">
        <f>IF(IF(A313&lt;&gt;"",VLOOKUP(A313,Employees!A:Q,14,0),"")="NULL","",IF(A313&lt;&gt;"",VLOOKUP(A313,Employees!A:Q,14,0),""))</f>
        <v/>
      </c>
    </row>
    <row r="314" spans="2:10" x14ac:dyDescent="0.25">
      <c r="B314" t="str">
        <f>IF(A314&lt;&gt;"",VLOOKUP(A314,Employees!A:Q,2,0),"")</f>
        <v/>
      </c>
      <c r="C314" t="str">
        <f>IF(A314&lt;&gt;"",VLOOKUP(A314,Employees!A:Q,3,0),"")</f>
        <v/>
      </c>
      <c r="D314" s="17" t="str">
        <f>IF(IF(A314&lt;&gt;"",VLOOKUP(A314,Employees!A:Q,4,0),"")="NULL","",IF(A314&lt;&gt;"",VLOOKUP(A314,Employees!A:Q,4,0),""))</f>
        <v/>
      </c>
      <c r="E314" s="17" t="str">
        <f>IF(IF(A314&lt;&gt;"",VLOOKUP(A314,Employees!A:Q,5,0),"")="NULL","",IF(A314&lt;&gt;"",VLOOKUP(A314,Employees!A:Q,5,0),""))</f>
        <v/>
      </c>
      <c r="F314" t="str">
        <f>IF(IF(A314&lt;&gt;"",VLOOKUP(A314,Employees!A:Q,9,0),"")="NULL","",IF(A314&lt;&gt;"",VLOOKUP(A314,Employees!A:Q,9,0),""))</f>
        <v/>
      </c>
      <c r="G314" t="str">
        <f>IF(IF(A314&lt;&gt;"",VLOOKUP(A314,Employees!A:Q,10,0),"")="NULL","",IF(A314&lt;&gt;"",VLOOKUP(A314,Employees!A:Q,10,0),""))</f>
        <v/>
      </c>
      <c r="H314" t="str">
        <f>IF(IF(A314&lt;&gt;"",VLOOKUP(A314,Employees!A:Q,11,0),"")="NULL","",IF(A314&lt;&gt;"",VLOOKUP(A314,Employees!A:Q,11,0),""))</f>
        <v/>
      </c>
      <c r="I314" s="25" t="str">
        <f>IFERROR(VALUE(IF(IF(A314&lt;&gt;"",VLOOKUP(A314,Employees!A:Q,12,0),"")="NULL","",IF(A314&lt;&gt;"",VLOOKUP(A314,Employees!A:Q,12,0),""))),"")</f>
        <v/>
      </c>
      <c r="J314" t="str">
        <f>IF(IF(A314&lt;&gt;"",VLOOKUP(A314,Employees!A:Q,14,0),"")="NULL","",IF(A314&lt;&gt;"",VLOOKUP(A314,Employees!A:Q,14,0),""))</f>
        <v/>
      </c>
    </row>
    <row r="315" spans="2:10" x14ac:dyDescent="0.25">
      <c r="B315" t="str">
        <f>IF(A315&lt;&gt;"",VLOOKUP(A315,Employees!A:Q,2,0),"")</f>
        <v/>
      </c>
      <c r="C315" t="str">
        <f>IF(A315&lt;&gt;"",VLOOKUP(A315,Employees!A:Q,3,0),"")</f>
        <v/>
      </c>
      <c r="D315" s="17" t="str">
        <f>IF(IF(A315&lt;&gt;"",VLOOKUP(A315,Employees!A:Q,4,0),"")="NULL","",IF(A315&lt;&gt;"",VLOOKUP(A315,Employees!A:Q,4,0),""))</f>
        <v/>
      </c>
      <c r="E315" s="17" t="str">
        <f>IF(IF(A315&lt;&gt;"",VLOOKUP(A315,Employees!A:Q,5,0),"")="NULL","",IF(A315&lt;&gt;"",VLOOKUP(A315,Employees!A:Q,5,0),""))</f>
        <v/>
      </c>
      <c r="F315" t="str">
        <f>IF(IF(A315&lt;&gt;"",VLOOKUP(A315,Employees!A:Q,9,0),"")="NULL","",IF(A315&lt;&gt;"",VLOOKUP(A315,Employees!A:Q,9,0),""))</f>
        <v/>
      </c>
      <c r="G315" t="str">
        <f>IF(IF(A315&lt;&gt;"",VLOOKUP(A315,Employees!A:Q,10,0),"")="NULL","",IF(A315&lt;&gt;"",VLOOKUP(A315,Employees!A:Q,10,0),""))</f>
        <v/>
      </c>
      <c r="H315" t="str">
        <f>IF(IF(A315&lt;&gt;"",VLOOKUP(A315,Employees!A:Q,11,0),"")="NULL","",IF(A315&lt;&gt;"",VLOOKUP(A315,Employees!A:Q,11,0),""))</f>
        <v/>
      </c>
      <c r="I315" s="25" t="str">
        <f>IFERROR(VALUE(IF(IF(A315&lt;&gt;"",VLOOKUP(A315,Employees!A:Q,12,0),"")="NULL","",IF(A315&lt;&gt;"",VLOOKUP(A315,Employees!A:Q,12,0),""))),"")</f>
        <v/>
      </c>
      <c r="J315" t="str">
        <f>IF(IF(A315&lt;&gt;"",VLOOKUP(A315,Employees!A:Q,14,0),"")="NULL","",IF(A315&lt;&gt;"",VLOOKUP(A315,Employees!A:Q,14,0),""))</f>
        <v/>
      </c>
    </row>
    <row r="316" spans="2:10" x14ac:dyDescent="0.25">
      <c r="B316" t="str">
        <f>IF(A316&lt;&gt;"",VLOOKUP(A316,Employees!A:Q,2,0),"")</f>
        <v/>
      </c>
      <c r="C316" t="str">
        <f>IF(A316&lt;&gt;"",VLOOKUP(A316,Employees!A:Q,3,0),"")</f>
        <v/>
      </c>
      <c r="D316" s="17" t="str">
        <f>IF(IF(A316&lt;&gt;"",VLOOKUP(A316,Employees!A:Q,4,0),"")="NULL","",IF(A316&lt;&gt;"",VLOOKUP(A316,Employees!A:Q,4,0),""))</f>
        <v/>
      </c>
      <c r="E316" s="17" t="str">
        <f>IF(IF(A316&lt;&gt;"",VLOOKUP(A316,Employees!A:Q,5,0),"")="NULL","",IF(A316&lt;&gt;"",VLOOKUP(A316,Employees!A:Q,5,0),""))</f>
        <v/>
      </c>
      <c r="F316" t="str">
        <f>IF(IF(A316&lt;&gt;"",VLOOKUP(A316,Employees!A:Q,9,0),"")="NULL","",IF(A316&lt;&gt;"",VLOOKUP(A316,Employees!A:Q,9,0),""))</f>
        <v/>
      </c>
      <c r="G316" t="str">
        <f>IF(IF(A316&lt;&gt;"",VLOOKUP(A316,Employees!A:Q,10,0),"")="NULL","",IF(A316&lt;&gt;"",VLOOKUP(A316,Employees!A:Q,10,0),""))</f>
        <v/>
      </c>
      <c r="H316" t="str">
        <f>IF(IF(A316&lt;&gt;"",VLOOKUP(A316,Employees!A:Q,11,0),"")="NULL","",IF(A316&lt;&gt;"",VLOOKUP(A316,Employees!A:Q,11,0),""))</f>
        <v/>
      </c>
      <c r="I316" s="25" t="str">
        <f>IFERROR(VALUE(IF(IF(A316&lt;&gt;"",VLOOKUP(A316,Employees!A:Q,12,0),"")="NULL","",IF(A316&lt;&gt;"",VLOOKUP(A316,Employees!A:Q,12,0),""))),"")</f>
        <v/>
      </c>
      <c r="J316" t="str">
        <f>IF(IF(A316&lt;&gt;"",VLOOKUP(A316,Employees!A:Q,14,0),"")="NULL","",IF(A316&lt;&gt;"",VLOOKUP(A316,Employees!A:Q,14,0),""))</f>
        <v/>
      </c>
    </row>
    <row r="317" spans="2:10" x14ac:dyDescent="0.25">
      <c r="B317" t="str">
        <f>IF(A317&lt;&gt;"",VLOOKUP(A317,Employees!A:Q,2,0),"")</f>
        <v/>
      </c>
      <c r="C317" t="str">
        <f>IF(A317&lt;&gt;"",VLOOKUP(A317,Employees!A:Q,3,0),"")</f>
        <v/>
      </c>
      <c r="D317" s="17" t="str">
        <f>IF(IF(A317&lt;&gt;"",VLOOKUP(A317,Employees!A:Q,4,0),"")="NULL","",IF(A317&lt;&gt;"",VLOOKUP(A317,Employees!A:Q,4,0),""))</f>
        <v/>
      </c>
      <c r="E317" s="17" t="str">
        <f>IF(IF(A317&lt;&gt;"",VLOOKUP(A317,Employees!A:Q,5,0),"")="NULL","",IF(A317&lt;&gt;"",VLOOKUP(A317,Employees!A:Q,5,0),""))</f>
        <v/>
      </c>
      <c r="F317" t="str">
        <f>IF(IF(A317&lt;&gt;"",VLOOKUP(A317,Employees!A:Q,9,0),"")="NULL","",IF(A317&lt;&gt;"",VLOOKUP(A317,Employees!A:Q,9,0),""))</f>
        <v/>
      </c>
      <c r="G317" t="str">
        <f>IF(IF(A317&lt;&gt;"",VLOOKUP(A317,Employees!A:Q,10,0),"")="NULL","",IF(A317&lt;&gt;"",VLOOKUP(A317,Employees!A:Q,10,0),""))</f>
        <v/>
      </c>
      <c r="H317" t="str">
        <f>IF(IF(A317&lt;&gt;"",VLOOKUP(A317,Employees!A:Q,11,0),"")="NULL","",IF(A317&lt;&gt;"",VLOOKUP(A317,Employees!A:Q,11,0),""))</f>
        <v/>
      </c>
      <c r="I317" s="25" t="str">
        <f>IFERROR(VALUE(IF(IF(A317&lt;&gt;"",VLOOKUP(A317,Employees!A:Q,12,0),"")="NULL","",IF(A317&lt;&gt;"",VLOOKUP(A317,Employees!A:Q,12,0),""))),"")</f>
        <v/>
      </c>
      <c r="J317" t="str">
        <f>IF(IF(A317&lt;&gt;"",VLOOKUP(A317,Employees!A:Q,14,0),"")="NULL","",IF(A317&lt;&gt;"",VLOOKUP(A317,Employees!A:Q,14,0),""))</f>
        <v/>
      </c>
    </row>
    <row r="318" spans="2:10" x14ac:dyDescent="0.25">
      <c r="B318" t="str">
        <f>IF(A318&lt;&gt;"",VLOOKUP(A318,Employees!A:Q,2,0),"")</f>
        <v/>
      </c>
      <c r="C318" t="str">
        <f>IF(A318&lt;&gt;"",VLOOKUP(A318,Employees!A:Q,3,0),"")</f>
        <v/>
      </c>
      <c r="D318" s="17" t="str">
        <f>IF(IF(A318&lt;&gt;"",VLOOKUP(A318,Employees!A:Q,4,0),"")="NULL","",IF(A318&lt;&gt;"",VLOOKUP(A318,Employees!A:Q,4,0),""))</f>
        <v/>
      </c>
      <c r="E318" s="17" t="str">
        <f>IF(IF(A318&lt;&gt;"",VLOOKUP(A318,Employees!A:Q,5,0),"")="NULL","",IF(A318&lt;&gt;"",VLOOKUP(A318,Employees!A:Q,5,0),""))</f>
        <v/>
      </c>
      <c r="F318" t="str">
        <f>IF(IF(A318&lt;&gt;"",VLOOKUP(A318,Employees!A:Q,9,0),"")="NULL","",IF(A318&lt;&gt;"",VLOOKUP(A318,Employees!A:Q,9,0),""))</f>
        <v/>
      </c>
      <c r="G318" t="str">
        <f>IF(IF(A318&lt;&gt;"",VLOOKUP(A318,Employees!A:Q,10,0),"")="NULL","",IF(A318&lt;&gt;"",VLOOKUP(A318,Employees!A:Q,10,0),""))</f>
        <v/>
      </c>
      <c r="H318" t="str">
        <f>IF(IF(A318&lt;&gt;"",VLOOKUP(A318,Employees!A:Q,11,0),"")="NULL","",IF(A318&lt;&gt;"",VLOOKUP(A318,Employees!A:Q,11,0),""))</f>
        <v/>
      </c>
      <c r="I318" s="25" t="str">
        <f>IFERROR(VALUE(IF(IF(A318&lt;&gt;"",VLOOKUP(A318,Employees!A:Q,12,0),"")="NULL","",IF(A318&lt;&gt;"",VLOOKUP(A318,Employees!A:Q,12,0),""))),"")</f>
        <v/>
      </c>
      <c r="J318" t="str">
        <f>IF(IF(A318&lt;&gt;"",VLOOKUP(A318,Employees!A:Q,14,0),"")="NULL","",IF(A318&lt;&gt;"",VLOOKUP(A318,Employees!A:Q,14,0),""))</f>
        <v/>
      </c>
    </row>
    <row r="319" spans="2:10" x14ac:dyDescent="0.25">
      <c r="B319" t="str">
        <f>IF(A319&lt;&gt;"",VLOOKUP(A319,Employees!A:Q,2,0),"")</f>
        <v/>
      </c>
      <c r="C319" t="str">
        <f>IF(A319&lt;&gt;"",VLOOKUP(A319,Employees!A:Q,3,0),"")</f>
        <v/>
      </c>
      <c r="D319" s="17" t="str">
        <f>IF(IF(A319&lt;&gt;"",VLOOKUP(A319,Employees!A:Q,4,0),"")="NULL","",IF(A319&lt;&gt;"",VLOOKUP(A319,Employees!A:Q,4,0),""))</f>
        <v/>
      </c>
      <c r="E319" s="17" t="str">
        <f>IF(IF(A319&lt;&gt;"",VLOOKUP(A319,Employees!A:Q,5,0),"")="NULL","",IF(A319&lt;&gt;"",VLOOKUP(A319,Employees!A:Q,5,0),""))</f>
        <v/>
      </c>
      <c r="F319" t="str">
        <f>IF(IF(A319&lt;&gt;"",VLOOKUP(A319,Employees!A:Q,9,0),"")="NULL","",IF(A319&lt;&gt;"",VLOOKUP(A319,Employees!A:Q,9,0),""))</f>
        <v/>
      </c>
      <c r="G319" t="str">
        <f>IF(IF(A319&lt;&gt;"",VLOOKUP(A319,Employees!A:Q,10,0),"")="NULL","",IF(A319&lt;&gt;"",VLOOKUP(A319,Employees!A:Q,10,0),""))</f>
        <v/>
      </c>
      <c r="H319" t="str">
        <f>IF(IF(A319&lt;&gt;"",VLOOKUP(A319,Employees!A:Q,11,0),"")="NULL","",IF(A319&lt;&gt;"",VLOOKUP(A319,Employees!A:Q,11,0),""))</f>
        <v/>
      </c>
      <c r="I319" s="25" t="str">
        <f>IFERROR(VALUE(IF(IF(A319&lt;&gt;"",VLOOKUP(A319,Employees!A:Q,12,0),"")="NULL","",IF(A319&lt;&gt;"",VLOOKUP(A319,Employees!A:Q,12,0),""))),"")</f>
        <v/>
      </c>
      <c r="J319" t="str">
        <f>IF(IF(A319&lt;&gt;"",VLOOKUP(A319,Employees!A:Q,14,0),"")="NULL","",IF(A319&lt;&gt;"",VLOOKUP(A319,Employees!A:Q,14,0),""))</f>
        <v/>
      </c>
    </row>
    <row r="320" spans="2:10" x14ac:dyDescent="0.25">
      <c r="B320" t="str">
        <f>IF(A320&lt;&gt;"",VLOOKUP(A320,Employees!A:Q,2,0),"")</f>
        <v/>
      </c>
      <c r="C320" t="str">
        <f>IF(A320&lt;&gt;"",VLOOKUP(A320,Employees!A:Q,3,0),"")</f>
        <v/>
      </c>
      <c r="D320" s="17" t="str">
        <f>IF(IF(A320&lt;&gt;"",VLOOKUP(A320,Employees!A:Q,4,0),"")="NULL","",IF(A320&lt;&gt;"",VLOOKUP(A320,Employees!A:Q,4,0),""))</f>
        <v/>
      </c>
      <c r="E320" s="17" t="str">
        <f>IF(IF(A320&lt;&gt;"",VLOOKUP(A320,Employees!A:Q,5,0),"")="NULL","",IF(A320&lt;&gt;"",VLOOKUP(A320,Employees!A:Q,5,0),""))</f>
        <v/>
      </c>
      <c r="F320" t="str">
        <f>IF(IF(A320&lt;&gt;"",VLOOKUP(A320,Employees!A:Q,9,0),"")="NULL","",IF(A320&lt;&gt;"",VLOOKUP(A320,Employees!A:Q,9,0),""))</f>
        <v/>
      </c>
      <c r="G320" t="str">
        <f>IF(IF(A320&lt;&gt;"",VLOOKUP(A320,Employees!A:Q,10,0),"")="NULL","",IF(A320&lt;&gt;"",VLOOKUP(A320,Employees!A:Q,10,0),""))</f>
        <v/>
      </c>
      <c r="H320" t="str">
        <f>IF(IF(A320&lt;&gt;"",VLOOKUP(A320,Employees!A:Q,11,0),"")="NULL","",IF(A320&lt;&gt;"",VLOOKUP(A320,Employees!A:Q,11,0),""))</f>
        <v/>
      </c>
      <c r="I320" s="25" t="str">
        <f>IFERROR(VALUE(IF(IF(A320&lt;&gt;"",VLOOKUP(A320,Employees!A:Q,12,0),"")="NULL","",IF(A320&lt;&gt;"",VLOOKUP(A320,Employees!A:Q,12,0),""))),"")</f>
        <v/>
      </c>
      <c r="J320" t="str">
        <f>IF(IF(A320&lt;&gt;"",VLOOKUP(A320,Employees!A:Q,14,0),"")="NULL","",IF(A320&lt;&gt;"",VLOOKUP(A320,Employees!A:Q,14,0),""))</f>
        <v/>
      </c>
    </row>
    <row r="321" spans="2:10" x14ac:dyDescent="0.25">
      <c r="B321" t="str">
        <f>IF(A321&lt;&gt;"",VLOOKUP(A321,Employees!A:Q,2,0),"")</f>
        <v/>
      </c>
      <c r="C321" t="str">
        <f>IF(A321&lt;&gt;"",VLOOKUP(A321,Employees!A:Q,3,0),"")</f>
        <v/>
      </c>
      <c r="D321" s="17" t="str">
        <f>IF(IF(A321&lt;&gt;"",VLOOKUP(A321,Employees!A:Q,4,0),"")="NULL","",IF(A321&lt;&gt;"",VLOOKUP(A321,Employees!A:Q,4,0),""))</f>
        <v/>
      </c>
      <c r="E321" s="17" t="str">
        <f>IF(IF(A321&lt;&gt;"",VLOOKUP(A321,Employees!A:Q,5,0),"")="NULL","",IF(A321&lt;&gt;"",VLOOKUP(A321,Employees!A:Q,5,0),""))</f>
        <v/>
      </c>
      <c r="F321" t="str">
        <f>IF(IF(A321&lt;&gt;"",VLOOKUP(A321,Employees!A:Q,9,0),"")="NULL","",IF(A321&lt;&gt;"",VLOOKUP(A321,Employees!A:Q,9,0),""))</f>
        <v/>
      </c>
      <c r="G321" t="str">
        <f>IF(IF(A321&lt;&gt;"",VLOOKUP(A321,Employees!A:Q,10,0),"")="NULL","",IF(A321&lt;&gt;"",VLOOKUP(A321,Employees!A:Q,10,0),""))</f>
        <v/>
      </c>
      <c r="H321" t="str">
        <f>IF(IF(A321&lt;&gt;"",VLOOKUP(A321,Employees!A:Q,11,0),"")="NULL","",IF(A321&lt;&gt;"",VLOOKUP(A321,Employees!A:Q,11,0),""))</f>
        <v/>
      </c>
      <c r="I321" s="25" t="str">
        <f>IFERROR(VALUE(IF(IF(A321&lt;&gt;"",VLOOKUP(A321,Employees!A:Q,12,0),"")="NULL","",IF(A321&lt;&gt;"",VLOOKUP(A321,Employees!A:Q,12,0),""))),"")</f>
        <v/>
      </c>
      <c r="J321" t="str">
        <f>IF(IF(A321&lt;&gt;"",VLOOKUP(A321,Employees!A:Q,14,0),"")="NULL","",IF(A321&lt;&gt;"",VLOOKUP(A321,Employees!A:Q,14,0),""))</f>
        <v/>
      </c>
    </row>
    <row r="322" spans="2:10" x14ac:dyDescent="0.25">
      <c r="B322" t="str">
        <f>IF(A322&lt;&gt;"",VLOOKUP(A322,Employees!A:Q,2,0),"")</f>
        <v/>
      </c>
      <c r="C322" t="str">
        <f>IF(A322&lt;&gt;"",VLOOKUP(A322,Employees!A:Q,3,0),"")</f>
        <v/>
      </c>
      <c r="D322" s="17" t="str">
        <f>IF(IF(A322&lt;&gt;"",VLOOKUP(A322,Employees!A:Q,4,0),"")="NULL","",IF(A322&lt;&gt;"",VLOOKUP(A322,Employees!A:Q,4,0),""))</f>
        <v/>
      </c>
      <c r="E322" s="17" t="str">
        <f>IF(IF(A322&lt;&gt;"",VLOOKUP(A322,Employees!A:Q,5,0),"")="NULL","",IF(A322&lt;&gt;"",VLOOKUP(A322,Employees!A:Q,5,0),""))</f>
        <v/>
      </c>
      <c r="F322" t="str">
        <f>IF(IF(A322&lt;&gt;"",VLOOKUP(A322,Employees!A:Q,9,0),"")="NULL","",IF(A322&lt;&gt;"",VLOOKUP(A322,Employees!A:Q,9,0),""))</f>
        <v/>
      </c>
      <c r="G322" t="str">
        <f>IF(IF(A322&lt;&gt;"",VLOOKUP(A322,Employees!A:Q,10,0),"")="NULL","",IF(A322&lt;&gt;"",VLOOKUP(A322,Employees!A:Q,10,0),""))</f>
        <v/>
      </c>
      <c r="H322" t="str">
        <f>IF(IF(A322&lt;&gt;"",VLOOKUP(A322,Employees!A:Q,11,0),"")="NULL","",IF(A322&lt;&gt;"",VLOOKUP(A322,Employees!A:Q,11,0),""))</f>
        <v/>
      </c>
      <c r="I322" s="25" t="str">
        <f>IFERROR(VALUE(IF(IF(A322&lt;&gt;"",VLOOKUP(A322,Employees!A:Q,12,0),"")="NULL","",IF(A322&lt;&gt;"",VLOOKUP(A322,Employees!A:Q,12,0),""))),"")</f>
        <v/>
      </c>
      <c r="J322" t="str">
        <f>IF(IF(A322&lt;&gt;"",VLOOKUP(A322,Employees!A:Q,14,0),"")="NULL","",IF(A322&lt;&gt;"",VLOOKUP(A322,Employees!A:Q,14,0),""))</f>
        <v/>
      </c>
    </row>
    <row r="323" spans="2:10" x14ac:dyDescent="0.25">
      <c r="B323" t="str">
        <f>IF(A323&lt;&gt;"",VLOOKUP(A323,Employees!A:Q,2,0),"")</f>
        <v/>
      </c>
      <c r="C323" t="str">
        <f>IF(A323&lt;&gt;"",VLOOKUP(A323,Employees!A:Q,3,0),"")</f>
        <v/>
      </c>
      <c r="D323" s="17" t="str">
        <f>IF(IF(A323&lt;&gt;"",VLOOKUP(A323,Employees!A:Q,4,0),"")="NULL","",IF(A323&lt;&gt;"",VLOOKUP(A323,Employees!A:Q,4,0),""))</f>
        <v/>
      </c>
      <c r="E323" s="17" t="str">
        <f>IF(IF(A323&lt;&gt;"",VLOOKUP(A323,Employees!A:Q,5,0),"")="NULL","",IF(A323&lt;&gt;"",VLOOKUP(A323,Employees!A:Q,5,0),""))</f>
        <v/>
      </c>
      <c r="F323" t="str">
        <f>IF(IF(A323&lt;&gt;"",VLOOKUP(A323,Employees!A:Q,9,0),"")="NULL","",IF(A323&lt;&gt;"",VLOOKUP(A323,Employees!A:Q,9,0),""))</f>
        <v/>
      </c>
      <c r="G323" t="str">
        <f>IF(IF(A323&lt;&gt;"",VLOOKUP(A323,Employees!A:Q,10,0),"")="NULL","",IF(A323&lt;&gt;"",VLOOKUP(A323,Employees!A:Q,10,0),""))</f>
        <v/>
      </c>
      <c r="H323" t="str">
        <f>IF(IF(A323&lt;&gt;"",VLOOKUP(A323,Employees!A:Q,11,0),"")="NULL","",IF(A323&lt;&gt;"",VLOOKUP(A323,Employees!A:Q,11,0),""))</f>
        <v/>
      </c>
      <c r="I323" s="25" t="str">
        <f>IFERROR(VALUE(IF(IF(A323&lt;&gt;"",VLOOKUP(A323,Employees!A:Q,12,0),"")="NULL","",IF(A323&lt;&gt;"",VLOOKUP(A323,Employees!A:Q,12,0),""))),"")</f>
        <v/>
      </c>
      <c r="J323" t="str">
        <f>IF(IF(A323&lt;&gt;"",VLOOKUP(A323,Employees!A:Q,14,0),"")="NULL","",IF(A323&lt;&gt;"",VLOOKUP(A323,Employees!A:Q,14,0),""))</f>
        <v/>
      </c>
    </row>
    <row r="324" spans="2:10" x14ac:dyDescent="0.25">
      <c r="B324" t="str">
        <f>IF(A324&lt;&gt;"",VLOOKUP(A324,Employees!A:Q,2,0),"")</f>
        <v/>
      </c>
      <c r="C324" t="str">
        <f>IF(A324&lt;&gt;"",VLOOKUP(A324,Employees!A:Q,3,0),"")</f>
        <v/>
      </c>
      <c r="D324" s="17" t="str">
        <f>IF(IF(A324&lt;&gt;"",VLOOKUP(A324,Employees!A:Q,4,0),"")="NULL","",IF(A324&lt;&gt;"",VLOOKUP(A324,Employees!A:Q,4,0),""))</f>
        <v/>
      </c>
      <c r="E324" s="17" t="str">
        <f>IF(IF(A324&lt;&gt;"",VLOOKUP(A324,Employees!A:Q,5,0),"")="NULL","",IF(A324&lt;&gt;"",VLOOKUP(A324,Employees!A:Q,5,0),""))</f>
        <v/>
      </c>
      <c r="F324" t="str">
        <f>IF(IF(A324&lt;&gt;"",VLOOKUP(A324,Employees!A:Q,9,0),"")="NULL","",IF(A324&lt;&gt;"",VLOOKUP(A324,Employees!A:Q,9,0),""))</f>
        <v/>
      </c>
      <c r="G324" t="str">
        <f>IF(IF(A324&lt;&gt;"",VLOOKUP(A324,Employees!A:Q,10,0),"")="NULL","",IF(A324&lt;&gt;"",VLOOKUP(A324,Employees!A:Q,10,0),""))</f>
        <v/>
      </c>
      <c r="H324" t="str">
        <f>IF(IF(A324&lt;&gt;"",VLOOKUP(A324,Employees!A:Q,11,0),"")="NULL","",IF(A324&lt;&gt;"",VLOOKUP(A324,Employees!A:Q,11,0),""))</f>
        <v/>
      </c>
      <c r="I324" s="25" t="str">
        <f>IFERROR(VALUE(IF(IF(A324&lt;&gt;"",VLOOKUP(A324,Employees!A:Q,12,0),"")="NULL","",IF(A324&lt;&gt;"",VLOOKUP(A324,Employees!A:Q,12,0),""))),"")</f>
        <v/>
      </c>
      <c r="J324" t="str">
        <f>IF(IF(A324&lt;&gt;"",VLOOKUP(A324,Employees!A:Q,14,0),"")="NULL","",IF(A324&lt;&gt;"",VLOOKUP(A324,Employees!A:Q,14,0),""))</f>
        <v/>
      </c>
    </row>
    <row r="325" spans="2:10" x14ac:dyDescent="0.25">
      <c r="B325" t="str">
        <f>IF(A325&lt;&gt;"",VLOOKUP(A325,Employees!A:Q,2,0),"")</f>
        <v/>
      </c>
      <c r="C325" t="str">
        <f>IF(A325&lt;&gt;"",VLOOKUP(A325,Employees!A:Q,3,0),"")</f>
        <v/>
      </c>
      <c r="D325" s="17" t="str">
        <f>IF(IF(A325&lt;&gt;"",VLOOKUP(A325,Employees!A:Q,4,0),"")="NULL","",IF(A325&lt;&gt;"",VLOOKUP(A325,Employees!A:Q,4,0),""))</f>
        <v/>
      </c>
      <c r="E325" s="17" t="str">
        <f>IF(IF(A325&lt;&gt;"",VLOOKUP(A325,Employees!A:Q,5,0),"")="NULL","",IF(A325&lt;&gt;"",VLOOKUP(A325,Employees!A:Q,5,0),""))</f>
        <v/>
      </c>
      <c r="F325" t="str">
        <f>IF(IF(A325&lt;&gt;"",VLOOKUP(A325,Employees!A:Q,9,0),"")="NULL","",IF(A325&lt;&gt;"",VLOOKUP(A325,Employees!A:Q,9,0),""))</f>
        <v/>
      </c>
      <c r="G325" t="str">
        <f>IF(IF(A325&lt;&gt;"",VLOOKUP(A325,Employees!A:Q,10,0),"")="NULL","",IF(A325&lt;&gt;"",VLOOKUP(A325,Employees!A:Q,10,0),""))</f>
        <v/>
      </c>
      <c r="H325" t="str">
        <f>IF(IF(A325&lt;&gt;"",VLOOKUP(A325,Employees!A:Q,11,0),"")="NULL","",IF(A325&lt;&gt;"",VLOOKUP(A325,Employees!A:Q,11,0),""))</f>
        <v/>
      </c>
      <c r="I325" s="25" t="str">
        <f>IFERROR(VALUE(IF(IF(A325&lt;&gt;"",VLOOKUP(A325,Employees!A:Q,12,0),"")="NULL","",IF(A325&lt;&gt;"",VLOOKUP(A325,Employees!A:Q,12,0),""))),"")</f>
        <v/>
      </c>
      <c r="J325" t="str">
        <f>IF(IF(A325&lt;&gt;"",VLOOKUP(A325,Employees!A:Q,14,0),"")="NULL","",IF(A325&lt;&gt;"",VLOOKUP(A325,Employees!A:Q,14,0),""))</f>
        <v/>
      </c>
    </row>
    <row r="326" spans="2:10" x14ac:dyDescent="0.25">
      <c r="B326" t="str">
        <f>IF(A326&lt;&gt;"",VLOOKUP(A326,Employees!A:Q,2,0),"")</f>
        <v/>
      </c>
      <c r="C326" t="str">
        <f>IF(A326&lt;&gt;"",VLOOKUP(A326,Employees!A:Q,3,0),"")</f>
        <v/>
      </c>
      <c r="D326" s="17" t="str">
        <f>IF(IF(A326&lt;&gt;"",VLOOKUP(A326,Employees!A:Q,4,0),"")="NULL","",IF(A326&lt;&gt;"",VLOOKUP(A326,Employees!A:Q,4,0),""))</f>
        <v/>
      </c>
      <c r="E326" s="17" t="str">
        <f>IF(IF(A326&lt;&gt;"",VLOOKUP(A326,Employees!A:Q,5,0),"")="NULL","",IF(A326&lt;&gt;"",VLOOKUP(A326,Employees!A:Q,5,0),""))</f>
        <v/>
      </c>
      <c r="F326" t="str">
        <f>IF(IF(A326&lt;&gt;"",VLOOKUP(A326,Employees!A:Q,9,0),"")="NULL","",IF(A326&lt;&gt;"",VLOOKUP(A326,Employees!A:Q,9,0),""))</f>
        <v/>
      </c>
      <c r="G326" t="str">
        <f>IF(IF(A326&lt;&gt;"",VLOOKUP(A326,Employees!A:Q,10,0),"")="NULL","",IF(A326&lt;&gt;"",VLOOKUP(A326,Employees!A:Q,10,0),""))</f>
        <v/>
      </c>
      <c r="H326" t="str">
        <f>IF(IF(A326&lt;&gt;"",VLOOKUP(A326,Employees!A:Q,11,0),"")="NULL","",IF(A326&lt;&gt;"",VLOOKUP(A326,Employees!A:Q,11,0),""))</f>
        <v/>
      </c>
      <c r="I326" s="25" t="str">
        <f>IFERROR(VALUE(IF(IF(A326&lt;&gt;"",VLOOKUP(A326,Employees!A:Q,12,0),"")="NULL","",IF(A326&lt;&gt;"",VLOOKUP(A326,Employees!A:Q,12,0),""))),"")</f>
        <v/>
      </c>
      <c r="J326" t="str">
        <f>IF(IF(A326&lt;&gt;"",VLOOKUP(A326,Employees!A:Q,14,0),"")="NULL","",IF(A326&lt;&gt;"",VLOOKUP(A326,Employees!A:Q,14,0),""))</f>
        <v/>
      </c>
    </row>
    <row r="327" spans="2:10" x14ac:dyDescent="0.25">
      <c r="B327" t="str">
        <f>IF(A327&lt;&gt;"",VLOOKUP(A327,Employees!A:Q,2,0),"")</f>
        <v/>
      </c>
      <c r="C327" t="str">
        <f>IF(A327&lt;&gt;"",VLOOKUP(A327,Employees!A:Q,3,0),"")</f>
        <v/>
      </c>
      <c r="D327" s="17" t="str">
        <f>IF(IF(A327&lt;&gt;"",VLOOKUP(A327,Employees!A:Q,4,0),"")="NULL","",IF(A327&lt;&gt;"",VLOOKUP(A327,Employees!A:Q,4,0),""))</f>
        <v/>
      </c>
      <c r="E327" s="17" t="str">
        <f>IF(IF(A327&lt;&gt;"",VLOOKUP(A327,Employees!A:Q,5,0),"")="NULL","",IF(A327&lt;&gt;"",VLOOKUP(A327,Employees!A:Q,5,0),""))</f>
        <v/>
      </c>
      <c r="F327" t="str">
        <f>IF(IF(A327&lt;&gt;"",VLOOKUP(A327,Employees!A:Q,9,0),"")="NULL","",IF(A327&lt;&gt;"",VLOOKUP(A327,Employees!A:Q,9,0),""))</f>
        <v/>
      </c>
      <c r="G327" t="str">
        <f>IF(IF(A327&lt;&gt;"",VLOOKUP(A327,Employees!A:Q,10,0),"")="NULL","",IF(A327&lt;&gt;"",VLOOKUP(A327,Employees!A:Q,10,0),""))</f>
        <v/>
      </c>
      <c r="H327" t="str">
        <f>IF(IF(A327&lt;&gt;"",VLOOKUP(A327,Employees!A:Q,11,0),"")="NULL","",IF(A327&lt;&gt;"",VLOOKUP(A327,Employees!A:Q,11,0),""))</f>
        <v/>
      </c>
      <c r="I327" s="25" t="str">
        <f>IFERROR(VALUE(IF(IF(A327&lt;&gt;"",VLOOKUP(A327,Employees!A:Q,12,0),"")="NULL","",IF(A327&lt;&gt;"",VLOOKUP(A327,Employees!A:Q,12,0),""))),"")</f>
        <v/>
      </c>
      <c r="J327" t="str">
        <f>IF(IF(A327&lt;&gt;"",VLOOKUP(A327,Employees!A:Q,14,0),"")="NULL","",IF(A327&lt;&gt;"",VLOOKUP(A327,Employees!A:Q,14,0),""))</f>
        <v/>
      </c>
    </row>
    <row r="328" spans="2:10" x14ac:dyDescent="0.25">
      <c r="B328" t="str">
        <f>IF(A328&lt;&gt;"",VLOOKUP(A328,Employees!A:Q,2,0),"")</f>
        <v/>
      </c>
      <c r="C328" t="str">
        <f>IF(A328&lt;&gt;"",VLOOKUP(A328,Employees!A:Q,3,0),"")</f>
        <v/>
      </c>
      <c r="D328" s="17" t="str">
        <f>IF(IF(A328&lt;&gt;"",VLOOKUP(A328,Employees!A:Q,4,0),"")="NULL","",IF(A328&lt;&gt;"",VLOOKUP(A328,Employees!A:Q,4,0),""))</f>
        <v/>
      </c>
      <c r="E328" s="17" t="str">
        <f>IF(IF(A328&lt;&gt;"",VLOOKUP(A328,Employees!A:Q,5,0),"")="NULL","",IF(A328&lt;&gt;"",VLOOKUP(A328,Employees!A:Q,5,0),""))</f>
        <v/>
      </c>
      <c r="F328" t="str">
        <f>IF(IF(A328&lt;&gt;"",VLOOKUP(A328,Employees!A:Q,9,0),"")="NULL","",IF(A328&lt;&gt;"",VLOOKUP(A328,Employees!A:Q,9,0),""))</f>
        <v/>
      </c>
      <c r="G328" t="str">
        <f>IF(IF(A328&lt;&gt;"",VLOOKUP(A328,Employees!A:Q,10,0),"")="NULL","",IF(A328&lt;&gt;"",VLOOKUP(A328,Employees!A:Q,10,0),""))</f>
        <v/>
      </c>
      <c r="H328" t="str">
        <f>IF(IF(A328&lt;&gt;"",VLOOKUP(A328,Employees!A:Q,11,0),"")="NULL","",IF(A328&lt;&gt;"",VLOOKUP(A328,Employees!A:Q,11,0),""))</f>
        <v/>
      </c>
      <c r="I328" s="25" t="str">
        <f>IFERROR(VALUE(IF(IF(A328&lt;&gt;"",VLOOKUP(A328,Employees!A:Q,12,0),"")="NULL","",IF(A328&lt;&gt;"",VLOOKUP(A328,Employees!A:Q,12,0),""))),"")</f>
        <v/>
      </c>
      <c r="J328" t="str">
        <f>IF(IF(A328&lt;&gt;"",VLOOKUP(A328,Employees!A:Q,14,0),"")="NULL","",IF(A328&lt;&gt;"",VLOOKUP(A328,Employees!A:Q,14,0),""))</f>
        <v/>
      </c>
    </row>
    <row r="329" spans="2:10" x14ac:dyDescent="0.25">
      <c r="B329" t="str">
        <f>IF(A329&lt;&gt;"",VLOOKUP(A329,Employees!A:Q,2,0),"")</f>
        <v/>
      </c>
      <c r="C329" t="str">
        <f>IF(A329&lt;&gt;"",VLOOKUP(A329,Employees!A:Q,3,0),"")</f>
        <v/>
      </c>
      <c r="D329" s="17" t="str">
        <f>IF(IF(A329&lt;&gt;"",VLOOKUP(A329,Employees!A:Q,4,0),"")="NULL","",IF(A329&lt;&gt;"",VLOOKUP(A329,Employees!A:Q,4,0),""))</f>
        <v/>
      </c>
      <c r="E329" s="17" t="str">
        <f>IF(IF(A329&lt;&gt;"",VLOOKUP(A329,Employees!A:Q,5,0),"")="NULL","",IF(A329&lt;&gt;"",VLOOKUP(A329,Employees!A:Q,5,0),""))</f>
        <v/>
      </c>
      <c r="F329" t="str">
        <f>IF(IF(A329&lt;&gt;"",VLOOKUP(A329,Employees!A:Q,9,0),"")="NULL","",IF(A329&lt;&gt;"",VLOOKUP(A329,Employees!A:Q,9,0),""))</f>
        <v/>
      </c>
      <c r="G329" t="str">
        <f>IF(IF(A329&lt;&gt;"",VLOOKUP(A329,Employees!A:Q,10,0),"")="NULL","",IF(A329&lt;&gt;"",VLOOKUP(A329,Employees!A:Q,10,0),""))</f>
        <v/>
      </c>
      <c r="H329" t="str">
        <f>IF(IF(A329&lt;&gt;"",VLOOKUP(A329,Employees!A:Q,11,0),"")="NULL","",IF(A329&lt;&gt;"",VLOOKUP(A329,Employees!A:Q,11,0),""))</f>
        <v/>
      </c>
      <c r="I329" s="25" t="str">
        <f>IFERROR(VALUE(IF(IF(A329&lt;&gt;"",VLOOKUP(A329,Employees!A:Q,12,0),"")="NULL","",IF(A329&lt;&gt;"",VLOOKUP(A329,Employees!A:Q,12,0),""))),"")</f>
        <v/>
      </c>
      <c r="J329" t="str">
        <f>IF(IF(A329&lt;&gt;"",VLOOKUP(A329,Employees!A:Q,14,0),"")="NULL","",IF(A329&lt;&gt;"",VLOOKUP(A329,Employees!A:Q,14,0),""))</f>
        <v/>
      </c>
    </row>
    <row r="330" spans="2:10" x14ac:dyDescent="0.25">
      <c r="B330" t="str">
        <f>IF(A330&lt;&gt;"",VLOOKUP(A330,Employees!A:Q,2,0),"")</f>
        <v/>
      </c>
      <c r="C330" t="str">
        <f>IF(A330&lt;&gt;"",VLOOKUP(A330,Employees!A:Q,3,0),"")</f>
        <v/>
      </c>
      <c r="D330" s="17" t="str">
        <f>IF(IF(A330&lt;&gt;"",VLOOKUP(A330,Employees!A:Q,4,0),"")="NULL","",IF(A330&lt;&gt;"",VLOOKUP(A330,Employees!A:Q,4,0),""))</f>
        <v/>
      </c>
      <c r="E330" s="17" t="str">
        <f>IF(IF(A330&lt;&gt;"",VLOOKUP(A330,Employees!A:Q,5,0),"")="NULL","",IF(A330&lt;&gt;"",VLOOKUP(A330,Employees!A:Q,5,0),""))</f>
        <v/>
      </c>
      <c r="F330" t="str">
        <f>IF(IF(A330&lt;&gt;"",VLOOKUP(A330,Employees!A:Q,9,0),"")="NULL","",IF(A330&lt;&gt;"",VLOOKUP(A330,Employees!A:Q,9,0),""))</f>
        <v/>
      </c>
      <c r="G330" t="str">
        <f>IF(IF(A330&lt;&gt;"",VLOOKUP(A330,Employees!A:Q,10,0),"")="NULL","",IF(A330&lt;&gt;"",VLOOKUP(A330,Employees!A:Q,10,0),""))</f>
        <v/>
      </c>
      <c r="H330" t="str">
        <f>IF(IF(A330&lt;&gt;"",VLOOKUP(A330,Employees!A:Q,11,0),"")="NULL","",IF(A330&lt;&gt;"",VLOOKUP(A330,Employees!A:Q,11,0),""))</f>
        <v/>
      </c>
      <c r="I330" s="25" t="str">
        <f>IFERROR(VALUE(IF(IF(A330&lt;&gt;"",VLOOKUP(A330,Employees!A:Q,12,0),"")="NULL","",IF(A330&lt;&gt;"",VLOOKUP(A330,Employees!A:Q,12,0),""))),"")</f>
        <v/>
      </c>
      <c r="J330" t="str">
        <f>IF(IF(A330&lt;&gt;"",VLOOKUP(A330,Employees!A:Q,14,0),"")="NULL","",IF(A330&lt;&gt;"",VLOOKUP(A330,Employees!A:Q,14,0),""))</f>
        <v/>
      </c>
    </row>
    <row r="331" spans="2:10" x14ac:dyDescent="0.25">
      <c r="B331" t="str">
        <f>IF(A331&lt;&gt;"",VLOOKUP(A331,Employees!A:Q,2,0),"")</f>
        <v/>
      </c>
      <c r="C331" t="str">
        <f>IF(A331&lt;&gt;"",VLOOKUP(A331,Employees!A:Q,3,0),"")</f>
        <v/>
      </c>
      <c r="D331" s="17" t="str">
        <f>IF(IF(A331&lt;&gt;"",VLOOKUP(A331,Employees!A:Q,4,0),"")="NULL","",IF(A331&lt;&gt;"",VLOOKUP(A331,Employees!A:Q,4,0),""))</f>
        <v/>
      </c>
      <c r="E331" s="17" t="str">
        <f>IF(IF(A331&lt;&gt;"",VLOOKUP(A331,Employees!A:Q,5,0),"")="NULL","",IF(A331&lt;&gt;"",VLOOKUP(A331,Employees!A:Q,5,0),""))</f>
        <v/>
      </c>
      <c r="F331" t="str">
        <f>IF(IF(A331&lt;&gt;"",VLOOKUP(A331,Employees!A:Q,9,0),"")="NULL","",IF(A331&lt;&gt;"",VLOOKUP(A331,Employees!A:Q,9,0),""))</f>
        <v/>
      </c>
      <c r="G331" t="str">
        <f>IF(IF(A331&lt;&gt;"",VLOOKUP(A331,Employees!A:Q,10,0),"")="NULL","",IF(A331&lt;&gt;"",VLOOKUP(A331,Employees!A:Q,10,0),""))</f>
        <v/>
      </c>
      <c r="H331" t="str">
        <f>IF(IF(A331&lt;&gt;"",VLOOKUP(A331,Employees!A:Q,11,0),"")="NULL","",IF(A331&lt;&gt;"",VLOOKUP(A331,Employees!A:Q,11,0),""))</f>
        <v/>
      </c>
      <c r="I331" s="25" t="str">
        <f>IFERROR(VALUE(IF(IF(A331&lt;&gt;"",VLOOKUP(A331,Employees!A:Q,12,0),"")="NULL","",IF(A331&lt;&gt;"",VLOOKUP(A331,Employees!A:Q,12,0),""))),"")</f>
        <v/>
      </c>
      <c r="J331" t="str">
        <f>IF(IF(A331&lt;&gt;"",VLOOKUP(A331,Employees!A:Q,14,0),"")="NULL","",IF(A331&lt;&gt;"",VLOOKUP(A331,Employees!A:Q,14,0),""))</f>
        <v/>
      </c>
    </row>
    <row r="332" spans="2:10" x14ac:dyDescent="0.25">
      <c r="B332" t="str">
        <f>IF(A332&lt;&gt;"",VLOOKUP(A332,Employees!A:Q,2,0),"")</f>
        <v/>
      </c>
      <c r="C332" t="str">
        <f>IF(A332&lt;&gt;"",VLOOKUP(A332,Employees!A:Q,3,0),"")</f>
        <v/>
      </c>
      <c r="D332" s="17" t="str">
        <f>IF(IF(A332&lt;&gt;"",VLOOKUP(A332,Employees!A:Q,4,0),"")="NULL","",IF(A332&lt;&gt;"",VLOOKUP(A332,Employees!A:Q,4,0),""))</f>
        <v/>
      </c>
      <c r="E332" s="17" t="str">
        <f>IF(IF(A332&lt;&gt;"",VLOOKUP(A332,Employees!A:Q,5,0),"")="NULL","",IF(A332&lt;&gt;"",VLOOKUP(A332,Employees!A:Q,5,0),""))</f>
        <v/>
      </c>
      <c r="F332" t="str">
        <f>IF(IF(A332&lt;&gt;"",VLOOKUP(A332,Employees!A:Q,9,0),"")="NULL","",IF(A332&lt;&gt;"",VLOOKUP(A332,Employees!A:Q,9,0),""))</f>
        <v/>
      </c>
      <c r="G332" t="str">
        <f>IF(IF(A332&lt;&gt;"",VLOOKUP(A332,Employees!A:Q,10,0),"")="NULL","",IF(A332&lt;&gt;"",VLOOKUP(A332,Employees!A:Q,10,0),""))</f>
        <v/>
      </c>
      <c r="H332" t="str">
        <f>IF(IF(A332&lt;&gt;"",VLOOKUP(A332,Employees!A:Q,11,0),"")="NULL","",IF(A332&lt;&gt;"",VLOOKUP(A332,Employees!A:Q,11,0),""))</f>
        <v/>
      </c>
      <c r="I332" s="25" t="str">
        <f>IFERROR(VALUE(IF(IF(A332&lt;&gt;"",VLOOKUP(A332,Employees!A:Q,12,0),"")="NULL","",IF(A332&lt;&gt;"",VLOOKUP(A332,Employees!A:Q,12,0),""))),"")</f>
        <v/>
      </c>
      <c r="J332" t="str">
        <f>IF(IF(A332&lt;&gt;"",VLOOKUP(A332,Employees!A:Q,14,0),"")="NULL","",IF(A332&lt;&gt;"",VLOOKUP(A332,Employees!A:Q,14,0),""))</f>
        <v/>
      </c>
    </row>
    <row r="333" spans="2:10" x14ac:dyDescent="0.25">
      <c r="B333" t="str">
        <f>IF(A333&lt;&gt;"",VLOOKUP(A333,Employees!A:Q,2,0),"")</f>
        <v/>
      </c>
      <c r="C333" t="str">
        <f>IF(A333&lt;&gt;"",VLOOKUP(A333,Employees!A:Q,3,0),"")</f>
        <v/>
      </c>
      <c r="D333" s="17" t="str">
        <f>IF(IF(A333&lt;&gt;"",VLOOKUP(A333,Employees!A:Q,4,0),"")="NULL","",IF(A333&lt;&gt;"",VLOOKUP(A333,Employees!A:Q,4,0),""))</f>
        <v/>
      </c>
      <c r="E333" s="17" t="str">
        <f>IF(IF(A333&lt;&gt;"",VLOOKUP(A333,Employees!A:Q,5,0),"")="NULL","",IF(A333&lt;&gt;"",VLOOKUP(A333,Employees!A:Q,5,0),""))</f>
        <v/>
      </c>
      <c r="F333" t="str">
        <f>IF(IF(A333&lt;&gt;"",VLOOKUP(A333,Employees!A:Q,9,0),"")="NULL","",IF(A333&lt;&gt;"",VLOOKUP(A333,Employees!A:Q,9,0),""))</f>
        <v/>
      </c>
      <c r="G333" t="str">
        <f>IF(IF(A333&lt;&gt;"",VLOOKUP(A333,Employees!A:Q,10,0),"")="NULL","",IF(A333&lt;&gt;"",VLOOKUP(A333,Employees!A:Q,10,0),""))</f>
        <v/>
      </c>
      <c r="H333" t="str">
        <f>IF(IF(A333&lt;&gt;"",VLOOKUP(A333,Employees!A:Q,11,0),"")="NULL","",IF(A333&lt;&gt;"",VLOOKUP(A333,Employees!A:Q,11,0),""))</f>
        <v/>
      </c>
      <c r="I333" s="25" t="str">
        <f>IFERROR(VALUE(IF(IF(A333&lt;&gt;"",VLOOKUP(A333,Employees!A:Q,12,0),"")="NULL","",IF(A333&lt;&gt;"",VLOOKUP(A333,Employees!A:Q,12,0),""))),"")</f>
        <v/>
      </c>
      <c r="J333" t="str">
        <f>IF(IF(A333&lt;&gt;"",VLOOKUP(A333,Employees!A:Q,14,0),"")="NULL","",IF(A333&lt;&gt;"",VLOOKUP(A333,Employees!A:Q,14,0),""))</f>
        <v/>
      </c>
    </row>
    <row r="334" spans="2:10" x14ac:dyDescent="0.25">
      <c r="B334" t="str">
        <f>IF(A334&lt;&gt;"",VLOOKUP(A334,Employees!A:Q,2,0),"")</f>
        <v/>
      </c>
      <c r="C334" t="str">
        <f>IF(A334&lt;&gt;"",VLOOKUP(A334,Employees!A:Q,3,0),"")</f>
        <v/>
      </c>
      <c r="D334" s="17" t="str">
        <f>IF(IF(A334&lt;&gt;"",VLOOKUP(A334,Employees!A:Q,4,0),"")="NULL","",IF(A334&lt;&gt;"",VLOOKUP(A334,Employees!A:Q,4,0),""))</f>
        <v/>
      </c>
      <c r="E334" s="17" t="str">
        <f>IF(IF(A334&lt;&gt;"",VLOOKUP(A334,Employees!A:Q,5,0),"")="NULL","",IF(A334&lt;&gt;"",VLOOKUP(A334,Employees!A:Q,5,0),""))</f>
        <v/>
      </c>
      <c r="F334" t="str">
        <f>IF(IF(A334&lt;&gt;"",VLOOKUP(A334,Employees!A:Q,9,0),"")="NULL","",IF(A334&lt;&gt;"",VLOOKUP(A334,Employees!A:Q,9,0),""))</f>
        <v/>
      </c>
      <c r="G334" t="str">
        <f>IF(IF(A334&lt;&gt;"",VLOOKUP(A334,Employees!A:Q,10,0),"")="NULL","",IF(A334&lt;&gt;"",VLOOKUP(A334,Employees!A:Q,10,0),""))</f>
        <v/>
      </c>
      <c r="H334" t="str">
        <f>IF(IF(A334&lt;&gt;"",VLOOKUP(A334,Employees!A:Q,11,0),"")="NULL","",IF(A334&lt;&gt;"",VLOOKUP(A334,Employees!A:Q,11,0),""))</f>
        <v/>
      </c>
      <c r="I334" s="25" t="str">
        <f>IFERROR(VALUE(IF(IF(A334&lt;&gt;"",VLOOKUP(A334,Employees!A:Q,12,0),"")="NULL","",IF(A334&lt;&gt;"",VLOOKUP(A334,Employees!A:Q,12,0),""))),"")</f>
        <v/>
      </c>
      <c r="J334" t="str">
        <f>IF(IF(A334&lt;&gt;"",VLOOKUP(A334,Employees!A:Q,14,0),"")="NULL","",IF(A334&lt;&gt;"",VLOOKUP(A334,Employees!A:Q,14,0),""))</f>
        <v/>
      </c>
    </row>
    <row r="335" spans="2:10" x14ac:dyDescent="0.25">
      <c r="B335" t="str">
        <f>IF(A335&lt;&gt;"",VLOOKUP(A335,Employees!A:Q,2,0),"")</f>
        <v/>
      </c>
      <c r="C335" t="str">
        <f>IF(A335&lt;&gt;"",VLOOKUP(A335,Employees!A:Q,3,0),"")</f>
        <v/>
      </c>
      <c r="D335" s="17" t="str">
        <f>IF(IF(A335&lt;&gt;"",VLOOKUP(A335,Employees!A:Q,4,0),"")="NULL","",IF(A335&lt;&gt;"",VLOOKUP(A335,Employees!A:Q,4,0),""))</f>
        <v/>
      </c>
      <c r="E335" s="17" t="str">
        <f>IF(IF(A335&lt;&gt;"",VLOOKUP(A335,Employees!A:Q,5,0),"")="NULL","",IF(A335&lt;&gt;"",VLOOKUP(A335,Employees!A:Q,5,0),""))</f>
        <v/>
      </c>
      <c r="F335" t="str">
        <f>IF(IF(A335&lt;&gt;"",VLOOKUP(A335,Employees!A:Q,9,0),"")="NULL","",IF(A335&lt;&gt;"",VLOOKUP(A335,Employees!A:Q,9,0),""))</f>
        <v/>
      </c>
      <c r="G335" t="str">
        <f>IF(IF(A335&lt;&gt;"",VLOOKUP(A335,Employees!A:Q,10,0),"")="NULL","",IF(A335&lt;&gt;"",VLOOKUP(A335,Employees!A:Q,10,0),""))</f>
        <v/>
      </c>
      <c r="H335" t="str">
        <f>IF(IF(A335&lt;&gt;"",VLOOKUP(A335,Employees!A:Q,11,0),"")="NULL","",IF(A335&lt;&gt;"",VLOOKUP(A335,Employees!A:Q,11,0),""))</f>
        <v/>
      </c>
      <c r="I335" s="25" t="str">
        <f>IFERROR(VALUE(IF(IF(A335&lt;&gt;"",VLOOKUP(A335,Employees!A:Q,12,0),"")="NULL","",IF(A335&lt;&gt;"",VLOOKUP(A335,Employees!A:Q,12,0),""))),"")</f>
        <v/>
      </c>
      <c r="J335" t="str">
        <f>IF(IF(A335&lt;&gt;"",VLOOKUP(A335,Employees!A:Q,14,0),"")="NULL","",IF(A335&lt;&gt;"",VLOOKUP(A335,Employees!A:Q,14,0),""))</f>
        <v/>
      </c>
    </row>
    <row r="336" spans="2:10" x14ac:dyDescent="0.25">
      <c r="B336" t="str">
        <f>IF(A336&lt;&gt;"",VLOOKUP(A336,Employees!A:Q,2,0),"")</f>
        <v/>
      </c>
      <c r="C336" t="str">
        <f>IF(A336&lt;&gt;"",VLOOKUP(A336,Employees!A:Q,3,0),"")</f>
        <v/>
      </c>
      <c r="D336" s="17" t="str">
        <f>IF(IF(A336&lt;&gt;"",VLOOKUP(A336,Employees!A:Q,4,0),"")="NULL","",IF(A336&lt;&gt;"",VLOOKUP(A336,Employees!A:Q,4,0),""))</f>
        <v/>
      </c>
      <c r="E336" s="17" t="str">
        <f>IF(IF(A336&lt;&gt;"",VLOOKUP(A336,Employees!A:Q,5,0),"")="NULL","",IF(A336&lt;&gt;"",VLOOKUP(A336,Employees!A:Q,5,0),""))</f>
        <v/>
      </c>
      <c r="F336" t="str">
        <f>IF(IF(A336&lt;&gt;"",VLOOKUP(A336,Employees!A:Q,9,0),"")="NULL","",IF(A336&lt;&gt;"",VLOOKUP(A336,Employees!A:Q,9,0),""))</f>
        <v/>
      </c>
      <c r="G336" t="str">
        <f>IF(IF(A336&lt;&gt;"",VLOOKUP(A336,Employees!A:Q,10,0),"")="NULL","",IF(A336&lt;&gt;"",VLOOKUP(A336,Employees!A:Q,10,0),""))</f>
        <v/>
      </c>
      <c r="H336" t="str">
        <f>IF(IF(A336&lt;&gt;"",VLOOKUP(A336,Employees!A:Q,11,0),"")="NULL","",IF(A336&lt;&gt;"",VLOOKUP(A336,Employees!A:Q,11,0),""))</f>
        <v/>
      </c>
      <c r="I336" s="25" t="str">
        <f>IFERROR(VALUE(IF(IF(A336&lt;&gt;"",VLOOKUP(A336,Employees!A:Q,12,0),"")="NULL","",IF(A336&lt;&gt;"",VLOOKUP(A336,Employees!A:Q,12,0),""))),"")</f>
        <v/>
      </c>
      <c r="J336" t="str">
        <f>IF(IF(A336&lt;&gt;"",VLOOKUP(A336,Employees!A:Q,14,0),"")="NULL","",IF(A336&lt;&gt;"",VLOOKUP(A336,Employees!A:Q,14,0),""))</f>
        <v/>
      </c>
    </row>
    <row r="337" spans="2:10" x14ac:dyDescent="0.25">
      <c r="B337" t="str">
        <f>IF(A337&lt;&gt;"",VLOOKUP(A337,Employees!A:Q,2,0),"")</f>
        <v/>
      </c>
      <c r="C337" t="str">
        <f>IF(A337&lt;&gt;"",VLOOKUP(A337,Employees!A:Q,3,0),"")</f>
        <v/>
      </c>
      <c r="D337" s="17" t="str">
        <f>IF(IF(A337&lt;&gt;"",VLOOKUP(A337,Employees!A:Q,4,0),"")="NULL","",IF(A337&lt;&gt;"",VLOOKUP(A337,Employees!A:Q,4,0),""))</f>
        <v/>
      </c>
      <c r="E337" s="17" t="str">
        <f>IF(IF(A337&lt;&gt;"",VLOOKUP(A337,Employees!A:Q,5,0),"")="NULL","",IF(A337&lt;&gt;"",VLOOKUP(A337,Employees!A:Q,5,0),""))</f>
        <v/>
      </c>
      <c r="F337" t="str">
        <f>IF(IF(A337&lt;&gt;"",VLOOKUP(A337,Employees!A:Q,9,0),"")="NULL","",IF(A337&lt;&gt;"",VLOOKUP(A337,Employees!A:Q,9,0),""))</f>
        <v/>
      </c>
      <c r="G337" t="str">
        <f>IF(IF(A337&lt;&gt;"",VLOOKUP(A337,Employees!A:Q,10,0),"")="NULL","",IF(A337&lt;&gt;"",VLOOKUP(A337,Employees!A:Q,10,0),""))</f>
        <v/>
      </c>
      <c r="H337" t="str">
        <f>IF(IF(A337&lt;&gt;"",VLOOKUP(A337,Employees!A:Q,11,0),"")="NULL","",IF(A337&lt;&gt;"",VLOOKUP(A337,Employees!A:Q,11,0),""))</f>
        <v/>
      </c>
      <c r="I337" s="25" t="str">
        <f>IFERROR(VALUE(IF(IF(A337&lt;&gt;"",VLOOKUP(A337,Employees!A:Q,12,0),"")="NULL","",IF(A337&lt;&gt;"",VLOOKUP(A337,Employees!A:Q,12,0),""))),"")</f>
        <v/>
      </c>
      <c r="J337" t="str">
        <f>IF(IF(A337&lt;&gt;"",VLOOKUP(A337,Employees!A:Q,14,0),"")="NULL","",IF(A337&lt;&gt;"",VLOOKUP(A337,Employees!A:Q,14,0),""))</f>
        <v/>
      </c>
    </row>
    <row r="338" spans="2:10" x14ac:dyDescent="0.25">
      <c r="B338" t="str">
        <f>IF(A338&lt;&gt;"",VLOOKUP(A338,Employees!A:Q,2,0),"")</f>
        <v/>
      </c>
      <c r="C338" t="str">
        <f>IF(A338&lt;&gt;"",VLOOKUP(A338,Employees!A:Q,3,0),"")</f>
        <v/>
      </c>
      <c r="D338" s="17" t="str">
        <f>IF(IF(A338&lt;&gt;"",VLOOKUP(A338,Employees!A:Q,4,0),"")="NULL","",IF(A338&lt;&gt;"",VLOOKUP(A338,Employees!A:Q,4,0),""))</f>
        <v/>
      </c>
      <c r="E338" s="17" t="str">
        <f>IF(IF(A338&lt;&gt;"",VLOOKUP(A338,Employees!A:Q,5,0),"")="NULL","",IF(A338&lt;&gt;"",VLOOKUP(A338,Employees!A:Q,5,0),""))</f>
        <v/>
      </c>
      <c r="F338" t="str">
        <f>IF(IF(A338&lt;&gt;"",VLOOKUP(A338,Employees!A:Q,9,0),"")="NULL","",IF(A338&lt;&gt;"",VLOOKUP(A338,Employees!A:Q,9,0),""))</f>
        <v/>
      </c>
      <c r="G338" t="str">
        <f>IF(IF(A338&lt;&gt;"",VLOOKUP(A338,Employees!A:Q,10,0),"")="NULL","",IF(A338&lt;&gt;"",VLOOKUP(A338,Employees!A:Q,10,0),""))</f>
        <v/>
      </c>
      <c r="H338" t="str">
        <f>IF(IF(A338&lt;&gt;"",VLOOKUP(A338,Employees!A:Q,11,0),"")="NULL","",IF(A338&lt;&gt;"",VLOOKUP(A338,Employees!A:Q,11,0),""))</f>
        <v/>
      </c>
      <c r="I338" s="25" t="str">
        <f>IFERROR(VALUE(IF(IF(A338&lt;&gt;"",VLOOKUP(A338,Employees!A:Q,12,0),"")="NULL","",IF(A338&lt;&gt;"",VLOOKUP(A338,Employees!A:Q,12,0),""))),"")</f>
        <v/>
      </c>
      <c r="J338" t="str">
        <f>IF(IF(A338&lt;&gt;"",VLOOKUP(A338,Employees!A:Q,14,0),"")="NULL","",IF(A338&lt;&gt;"",VLOOKUP(A338,Employees!A:Q,14,0),""))</f>
        <v/>
      </c>
    </row>
    <row r="339" spans="2:10" x14ac:dyDescent="0.25">
      <c r="B339" t="str">
        <f>IF(A339&lt;&gt;"",VLOOKUP(A339,Employees!A:Q,2,0),"")</f>
        <v/>
      </c>
      <c r="C339" t="str">
        <f>IF(A339&lt;&gt;"",VLOOKUP(A339,Employees!A:Q,3,0),"")</f>
        <v/>
      </c>
      <c r="D339" s="17" t="str">
        <f>IF(IF(A339&lt;&gt;"",VLOOKUP(A339,Employees!A:Q,4,0),"")="NULL","",IF(A339&lt;&gt;"",VLOOKUP(A339,Employees!A:Q,4,0),""))</f>
        <v/>
      </c>
      <c r="E339" s="17" t="str">
        <f>IF(IF(A339&lt;&gt;"",VLOOKUP(A339,Employees!A:Q,5,0),"")="NULL","",IF(A339&lt;&gt;"",VLOOKUP(A339,Employees!A:Q,5,0),""))</f>
        <v/>
      </c>
      <c r="F339" t="str">
        <f>IF(IF(A339&lt;&gt;"",VLOOKUP(A339,Employees!A:Q,9,0),"")="NULL","",IF(A339&lt;&gt;"",VLOOKUP(A339,Employees!A:Q,9,0),""))</f>
        <v/>
      </c>
      <c r="G339" t="str">
        <f>IF(IF(A339&lt;&gt;"",VLOOKUP(A339,Employees!A:Q,10,0),"")="NULL","",IF(A339&lt;&gt;"",VLOOKUP(A339,Employees!A:Q,10,0),""))</f>
        <v/>
      </c>
      <c r="H339" t="str">
        <f>IF(IF(A339&lt;&gt;"",VLOOKUP(A339,Employees!A:Q,11,0),"")="NULL","",IF(A339&lt;&gt;"",VLOOKUP(A339,Employees!A:Q,11,0),""))</f>
        <v/>
      </c>
      <c r="I339" s="25" t="str">
        <f>IFERROR(VALUE(IF(IF(A339&lt;&gt;"",VLOOKUP(A339,Employees!A:Q,12,0),"")="NULL","",IF(A339&lt;&gt;"",VLOOKUP(A339,Employees!A:Q,12,0),""))),"")</f>
        <v/>
      </c>
      <c r="J339" t="str">
        <f>IF(IF(A339&lt;&gt;"",VLOOKUP(A339,Employees!A:Q,14,0),"")="NULL","",IF(A339&lt;&gt;"",VLOOKUP(A339,Employees!A:Q,14,0),""))</f>
        <v/>
      </c>
    </row>
    <row r="340" spans="2:10" x14ac:dyDescent="0.25">
      <c r="B340" t="str">
        <f>IF(A340&lt;&gt;"",VLOOKUP(A340,Employees!A:Q,2,0),"")</f>
        <v/>
      </c>
      <c r="C340" t="str">
        <f>IF(A340&lt;&gt;"",VLOOKUP(A340,Employees!A:Q,3,0),"")</f>
        <v/>
      </c>
      <c r="D340" s="17" t="str">
        <f>IF(IF(A340&lt;&gt;"",VLOOKUP(A340,Employees!A:Q,4,0),"")="NULL","",IF(A340&lt;&gt;"",VLOOKUP(A340,Employees!A:Q,4,0),""))</f>
        <v/>
      </c>
      <c r="E340" s="17" t="str">
        <f>IF(IF(A340&lt;&gt;"",VLOOKUP(A340,Employees!A:Q,5,0),"")="NULL","",IF(A340&lt;&gt;"",VLOOKUP(A340,Employees!A:Q,5,0),""))</f>
        <v/>
      </c>
      <c r="F340" t="str">
        <f>IF(IF(A340&lt;&gt;"",VLOOKUP(A340,Employees!A:Q,9,0),"")="NULL","",IF(A340&lt;&gt;"",VLOOKUP(A340,Employees!A:Q,9,0),""))</f>
        <v/>
      </c>
      <c r="G340" t="str">
        <f>IF(IF(A340&lt;&gt;"",VLOOKUP(A340,Employees!A:Q,10,0),"")="NULL","",IF(A340&lt;&gt;"",VLOOKUP(A340,Employees!A:Q,10,0),""))</f>
        <v/>
      </c>
      <c r="H340" t="str">
        <f>IF(IF(A340&lt;&gt;"",VLOOKUP(A340,Employees!A:Q,11,0),"")="NULL","",IF(A340&lt;&gt;"",VLOOKUP(A340,Employees!A:Q,11,0),""))</f>
        <v/>
      </c>
      <c r="I340" s="25" t="str">
        <f>IFERROR(VALUE(IF(IF(A340&lt;&gt;"",VLOOKUP(A340,Employees!A:Q,12,0),"")="NULL","",IF(A340&lt;&gt;"",VLOOKUP(A340,Employees!A:Q,12,0),""))),"")</f>
        <v/>
      </c>
      <c r="J340" t="str">
        <f>IF(IF(A340&lt;&gt;"",VLOOKUP(A340,Employees!A:Q,14,0),"")="NULL","",IF(A340&lt;&gt;"",VLOOKUP(A340,Employees!A:Q,14,0),""))</f>
        <v/>
      </c>
    </row>
    <row r="341" spans="2:10" x14ac:dyDescent="0.25">
      <c r="B341" t="str">
        <f>IF(A341&lt;&gt;"",VLOOKUP(A341,Employees!A:Q,2,0),"")</f>
        <v/>
      </c>
      <c r="C341" t="str">
        <f>IF(A341&lt;&gt;"",VLOOKUP(A341,Employees!A:Q,3,0),"")</f>
        <v/>
      </c>
      <c r="D341" s="17" t="str">
        <f>IF(IF(A341&lt;&gt;"",VLOOKUP(A341,Employees!A:Q,4,0),"")="NULL","",IF(A341&lt;&gt;"",VLOOKUP(A341,Employees!A:Q,4,0),""))</f>
        <v/>
      </c>
      <c r="E341" s="17" t="str">
        <f>IF(IF(A341&lt;&gt;"",VLOOKUP(A341,Employees!A:Q,5,0),"")="NULL","",IF(A341&lt;&gt;"",VLOOKUP(A341,Employees!A:Q,5,0),""))</f>
        <v/>
      </c>
      <c r="F341" t="str">
        <f>IF(IF(A341&lt;&gt;"",VLOOKUP(A341,Employees!A:Q,9,0),"")="NULL","",IF(A341&lt;&gt;"",VLOOKUP(A341,Employees!A:Q,9,0),""))</f>
        <v/>
      </c>
      <c r="G341" t="str">
        <f>IF(IF(A341&lt;&gt;"",VLOOKUP(A341,Employees!A:Q,10,0),"")="NULL","",IF(A341&lt;&gt;"",VLOOKUP(A341,Employees!A:Q,10,0),""))</f>
        <v/>
      </c>
      <c r="H341" t="str">
        <f>IF(IF(A341&lt;&gt;"",VLOOKUP(A341,Employees!A:Q,11,0),"")="NULL","",IF(A341&lt;&gt;"",VLOOKUP(A341,Employees!A:Q,11,0),""))</f>
        <v/>
      </c>
      <c r="I341" s="25" t="str">
        <f>IFERROR(VALUE(IF(IF(A341&lt;&gt;"",VLOOKUP(A341,Employees!A:Q,12,0),"")="NULL","",IF(A341&lt;&gt;"",VLOOKUP(A341,Employees!A:Q,12,0),""))),"")</f>
        <v/>
      </c>
      <c r="J341" t="str">
        <f>IF(IF(A341&lt;&gt;"",VLOOKUP(A341,Employees!A:Q,14,0),"")="NULL","",IF(A341&lt;&gt;"",VLOOKUP(A341,Employees!A:Q,14,0),""))</f>
        <v/>
      </c>
    </row>
    <row r="342" spans="2:10" x14ac:dyDescent="0.25">
      <c r="B342" t="str">
        <f>IF(A342&lt;&gt;"",VLOOKUP(A342,Employees!A:Q,2,0),"")</f>
        <v/>
      </c>
      <c r="C342" t="str">
        <f>IF(A342&lt;&gt;"",VLOOKUP(A342,Employees!A:Q,3,0),"")</f>
        <v/>
      </c>
      <c r="D342" s="17" t="str">
        <f>IF(IF(A342&lt;&gt;"",VLOOKUP(A342,Employees!A:Q,4,0),"")="NULL","",IF(A342&lt;&gt;"",VLOOKUP(A342,Employees!A:Q,4,0),""))</f>
        <v/>
      </c>
      <c r="E342" s="17" t="str">
        <f>IF(IF(A342&lt;&gt;"",VLOOKUP(A342,Employees!A:Q,5,0),"")="NULL","",IF(A342&lt;&gt;"",VLOOKUP(A342,Employees!A:Q,5,0),""))</f>
        <v/>
      </c>
      <c r="F342" t="str">
        <f>IF(IF(A342&lt;&gt;"",VLOOKUP(A342,Employees!A:Q,9,0),"")="NULL","",IF(A342&lt;&gt;"",VLOOKUP(A342,Employees!A:Q,9,0),""))</f>
        <v/>
      </c>
      <c r="G342" t="str">
        <f>IF(IF(A342&lt;&gt;"",VLOOKUP(A342,Employees!A:Q,10,0),"")="NULL","",IF(A342&lt;&gt;"",VLOOKUP(A342,Employees!A:Q,10,0),""))</f>
        <v/>
      </c>
      <c r="H342" t="str">
        <f>IF(IF(A342&lt;&gt;"",VLOOKUP(A342,Employees!A:Q,11,0),"")="NULL","",IF(A342&lt;&gt;"",VLOOKUP(A342,Employees!A:Q,11,0),""))</f>
        <v/>
      </c>
      <c r="I342" s="25" t="str">
        <f>IFERROR(VALUE(IF(IF(A342&lt;&gt;"",VLOOKUP(A342,Employees!A:Q,12,0),"")="NULL","",IF(A342&lt;&gt;"",VLOOKUP(A342,Employees!A:Q,12,0),""))),"")</f>
        <v/>
      </c>
      <c r="J342" t="str">
        <f>IF(IF(A342&lt;&gt;"",VLOOKUP(A342,Employees!A:Q,14,0),"")="NULL","",IF(A342&lt;&gt;"",VLOOKUP(A342,Employees!A:Q,14,0),""))</f>
        <v/>
      </c>
    </row>
    <row r="343" spans="2:10" x14ac:dyDescent="0.25">
      <c r="B343" t="str">
        <f>IF(A343&lt;&gt;"",VLOOKUP(A343,Employees!A:Q,2,0),"")</f>
        <v/>
      </c>
      <c r="C343" t="str">
        <f>IF(A343&lt;&gt;"",VLOOKUP(A343,Employees!A:Q,3,0),"")</f>
        <v/>
      </c>
      <c r="D343" s="17" t="str">
        <f>IF(IF(A343&lt;&gt;"",VLOOKUP(A343,Employees!A:Q,4,0),"")="NULL","",IF(A343&lt;&gt;"",VLOOKUP(A343,Employees!A:Q,4,0),""))</f>
        <v/>
      </c>
      <c r="E343" s="17" t="str">
        <f>IF(IF(A343&lt;&gt;"",VLOOKUP(A343,Employees!A:Q,5,0),"")="NULL","",IF(A343&lt;&gt;"",VLOOKUP(A343,Employees!A:Q,5,0),""))</f>
        <v/>
      </c>
      <c r="F343" t="str">
        <f>IF(IF(A343&lt;&gt;"",VLOOKUP(A343,Employees!A:Q,9,0),"")="NULL","",IF(A343&lt;&gt;"",VLOOKUP(A343,Employees!A:Q,9,0),""))</f>
        <v/>
      </c>
      <c r="G343" t="str">
        <f>IF(IF(A343&lt;&gt;"",VLOOKUP(A343,Employees!A:Q,10,0),"")="NULL","",IF(A343&lt;&gt;"",VLOOKUP(A343,Employees!A:Q,10,0),""))</f>
        <v/>
      </c>
      <c r="H343" t="str">
        <f>IF(IF(A343&lt;&gt;"",VLOOKUP(A343,Employees!A:Q,11,0),"")="NULL","",IF(A343&lt;&gt;"",VLOOKUP(A343,Employees!A:Q,11,0),""))</f>
        <v/>
      </c>
      <c r="I343" s="25" t="str">
        <f>IFERROR(VALUE(IF(IF(A343&lt;&gt;"",VLOOKUP(A343,Employees!A:Q,12,0),"")="NULL","",IF(A343&lt;&gt;"",VLOOKUP(A343,Employees!A:Q,12,0),""))),"")</f>
        <v/>
      </c>
      <c r="J343" t="str">
        <f>IF(IF(A343&lt;&gt;"",VLOOKUP(A343,Employees!A:Q,14,0),"")="NULL","",IF(A343&lt;&gt;"",VLOOKUP(A343,Employees!A:Q,14,0),""))</f>
        <v/>
      </c>
    </row>
    <row r="344" spans="2:10" x14ac:dyDescent="0.25">
      <c r="B344" t="str">
        <f>IF(A344&lt;&gt;"",VLOOKUP(A344,Employees!A:Q,2,0),"")</f>
        <v/>
      </c>
      <c r="C344" t="str">
        <f>IF(A344&lt;&gt;"",VLOOKUP(A344,Employees!A:Q,3,0),"")</f>
        <v/>
      </c>
      <c r="D344" s="17" t="str">
        <f>IF(IF(A344&lt;&gt;"",VLOOKUP(A344,Employees!A:Q,4,0),"")="NULL","",IF(A344&lt;&gt;"",VLOOKUP(A344,Employees!A:Q,4,0),""))</f>
        <v/>
      </c>
      <c r="E344" s="17" t="str">
        <f>IF(IF(A344&lt;&gt;"",VLOOKUP(A344,Employees!A:Q,5,0),"")="NULL","",IF(A344&lt;&gt;"",VLOOKUP(A344,Employees!A:Q,5,0),""))</f>
        <v/>
      </c>
      <c r="F344" t="str">
        <f>IF(IF(A344&lt;&gt;"",VLOOKUP(A344,Employees!A:Q,9,0),"")="NULL","",IF(A344&lt;&gt;"",VLOOKUP(A344,Employees!A:Q,9,0),""))</f>
        <v/>
      </c>
      <c r="G344" t="str">
        <f>IF(IF(A344&lt;&gt;"",VLOOKUP(A344,Employees!A:Q,10,0),"")="NULL","",IF(A344&lt;&gt;"",VLOOKUP(A344,Employees!A:Q,10,0),""))</f>
        <v/>
      </c>
      <c r="H344" t="str">
        <f>IF(IF(A344&lt;&gt;"",VLOOKUP(A344,Employees!A:Q,11,0),"")="NULL","",IF(A344&lt;&gt;"",VLOOKUP(A344,Employees!A:Q,11,0),""))</f>
        <v/>
      </c>
      <c r="I344" s="25" t="str">
        <f>IFERROR(VALUE(IF(IF(A344&lt;&gt;"",VLOOKUP(A344,Employees!A:Q,12,0),"")="NULL","",IF(A344&lt;&gt;"",VLOOKUP(A344,Employees!A:Q,12,0),""))),"")</f>
        <v/>
      </c>
      <c r="J344" t="str">
        <f>IF(IF(A344&lt;&gt;"",VLOOKUP(A344,Employees!A:Q,14,0),"")="NULL","",IF(A344&lt;&gt;"",VLOOKUP(A344,Employees!A:Q,14,0),""))</f>
        <v/>
      </c>
    </row>
    <row r="345" spans="2:10" x14ac:dyDescent="0.25">
      <c r="B345" t="str">
        <f>IF(A345&lt;&gt;"",VLOOKUP(A345,Employees!A:Q,2,0),"")</f>
        <v/>
      </c>
      <c r="C345" t="str">
        <f>IF(A345&lt;&gt;"",VLOOKUP(A345,Employees!A:Q,3,0),"")</f>
        <v/>
      </c>
      <c r="D345" s="17" t="str">
        <f>IF(IF(A345&lt;&gt;"",VLOOKUP(A345,Employees!A:Q,4,0),"")="NULL","",IF(A345&lt;&gt;"",VLOOKUP(A345,Employees!A:Q,4,0),""))</f>
        <v/>
      </c>
      <c r="E345" s="17" t="str">
        <f>IF(IF(A345&lt;&gt;"",VLOOKUP(A345,Employees!A:Q,5,0),"")="NULL","",IF(A345&lt;&gt;"",VLOOKUP(A345,Employees!A:Q,5,0),""))</f>
        <v/>
      </c>
      <c r="F345" t="str">
        <f>IF(IF(A345&lt;&gt;"",VLOOKUP(A345,Employees!A:Q,9,0),"")="NULL","",IF(A345&lt;&gt;"",VLOOKUP(A345,Employees!A:Q,9,0),""))</f>
        <v/>
      </c>
      <c r="G345" t="str">
        <f>IF(IF(A345&lt;&gt;"",VLOOKUP(A345,Employees!A:Q,10,0),"")="NULL","",IF(A345&lt;&gt;"",VLOOKUP(A345,Employees!A:Q,10,0),""))</f>
        <v/>
      </c>
      <c r="H345" t="str">
        <f>IF(IF(A345&lt;&gt;"",VLOOKUP(A345,Employees!A:Q,11,0),"")="NULL","",IF(A345&lt;&gt;"",VLOOKUP(A345,Employees!A:Q,11,0),""))</f>
        <v/>
      </c>
      <c r="I345" s="25" t="str">
        <f>IFERROR(VALUE(IF(IF(A345&lt;&gt;"",VLOOKUP(A345,Employees!A:Q,12,0),"")="NULL","",IF(A345&lt;&gt;"",VLOOKUP(A345,Employees!A:Q,12,0),""))),"")</f>
        <v/>
      </c>
      <c r="J345" t="str">
        <f>IF(IF(A345&lt;&gt;"",VLOOKUP(A345,Employees!A:Q,14,0),"")="NULL","",IF(A345&lt;&gt;"",VLOOKUP(A345,Employees!A:Q,14,0),""))</f>
        <v/>
      </c>
    </row>
    <row r="346" spans="2:10" x14ac:dyDescent="0.25">
      <c r="B346" t="str">
        <f>IF(A346&lt;&gt;"",VLOOKUP(A346,Employees!A:Q,2,0),"")</f>
        <v/>
      </c>
      <c r="C346" t="str">
        <f>IF(A346&lt;&gt;"",VLOOKUP(A346,Employees!A:Q,3,0),"")</f>
        <v/>
      </c>
      <c r="D346" s="17" t="str">
        <f>IF(IF(A346&lt;&gt;"",VLOOKUP(A346,Employees!A:Q,4,0),"")="NULL","",IF(A346&lt;&gt;"",VLOOKUP(A346,Employees!A:Q,4,0),""))</f>
        <v/>
      </c>
      <c r="E346" s="17" t="str">
        <f>IF(IF(A346&lt;&gt;"",VLOOKUP(A346,Employees!A:Q,5,0),"")="NULL","",IF(A346&lt;&gt;"",VLOOKUP(A346,Employees!A:Q,5,0),""))</f>
        <v/>
      </c>
      <c r="F346" t="str">
        <f>IF(IF(A346&lt;&gt;"",VLOOKUP(A346,Employees!A:Q,9,0),"")="NULL","",IF(A346&lt;&gt;"",VLOOKUP(A346,Employees!A:Q,9,0),""))</f>
        <v/>
      </c>
      <c r="G346" t="str">
        <f>IF(IF(A346&lt;&gt;"",VLOOKUP(A346,Employees!A:Q,10,0),"")="NULL","",IF(A346&lt;&gt;"",VLOOKUP(A346,Employees!A:Q,10,0),""))</f>
        <v/>
      </c>
      <c r="H346" t="str">
        <f>IF(IF(A346&lt;&gt;"",VLOOKUP(A346,Employees!A:Q,11,0),"")="NULL","",IF(A346&lt;&gt;"",VLOOKUP(A346,Employees!A:Q,11,0),""))</f>
        <v/>
      </c>
      <c r="I346" s="25" t="str">
        <f>IFERROR(VALUE(IF(IF(A346&lt;&gt;"",VLOOKUP(A346,Employees!A:Q,12,0),"")="NULL","",IF(A346&lt;&gt;"",VLOOKUP(A346,Employees!A:Q,12,0),""))),"")</f>
        <v/>
      </c>
      <c r="J346" t="str">
        <f>IF(IF(A346&lt;&gt;"",VLOOKUP(A346,Employees!A:Q,14,0),"")="NULL","",IF(A346&lt;&gt;"",VLOOKUP(A346,Employees!A:Q,14,0),""))</f>
        <v/>
      </c>
    </row>
    <row r="347" spans="2:10" x14ac:dyDescent="0.25">
      <c r="B347" t="str">
        <f>IF(A347&lt;&gt;"",VLOOKUP(A347,Employees!A:Q,2,0),"")</f>
        <v/>
      </c>
      <c r="C347" t="str">
        <f>IF(A347&lt;&gt;"",VLOOKUP(A347,Employees!A:Q,3,0),"")</f>
        <v/>
      </c>
      <c r="D347" s="17" t="str">
        <f>IF(IF(A347&lt;&gt;"",VLOOKUP(A347,Employees!A:Q,4,0),"")="NULL","",IF(A347&lt;&gt;"",VLOOKUP(A347,Employees!A:Q,4,0),""))</f>
        <v/>
      </c>
      <c r="E347" s="17" t="str">
        <f>IF(IF(A347&lt;&gt;"",VLOOKUP(A347,Employees!A:Q,5,0),"")="NULL","",IF(A347&lt;&gt;"",VLOOKUP(A347,Employees!A:Q,5,0),""))</f>
        <v/>
      </c>
      <c r="F347" t="str">
        <f>IF(IF(A347&lt;&gt;"",VLOOKUP(A347,Employees!A:Q,9,0),"")="NULL","",IF(A347&lt;&gt;"",VLOOKUP(A347,Employees!A:Q,9,0),""))</f>
        <v/>
      </c>
      <c r="G347" t="str">
        <f>IF(IF(A347&lt;&gt;"",VLOOKUP(A347,Employees!A:Q,10,0),"")="NULL","",IF(A347&lt;&gt;"",VLOOKUP(A347,Employees!A:Q,10,0),""))</f>
        <v/>
      </c>
      <c r="H347" t="str">
        <f>IF(IF(A347&lt;&gt;"",VLOOKUP(A347,Employees!A:Q,11,0),"")="NULL","",IF(A347&lt;&gt;"",VLOOKUP(A347,Employees!A:Q,11,0),""))</f>
        <v/>
      </c>
      <c r="I347" s="25" t="str">
        <f>IFERROR(VALUE(IF(IF(A347&lt;&gt;"",VLOOKUP(A347,Employees!A:Q,12,0),"")="NULL","",IF(A347&lt;&gt;"",VLOOKUP(A347,Employees!A:Q,12,0),""))),"")</f>
        <v/>
      </c>
      <c r="J347" t="str">
        <f>IF(IF(A347&lt;&gt;"",VLOOKUP(A347,Employees!A:Q,14,0),"")="NULL","",IF(A347&lt;&gt;"",VLOOKUP(A347,Employees!A:Q,14,0),""))</f>
        <v/>
      </c>
    </row>
    <row r="348" spans="2:10" x14ac:dyDescent="0.25">
      <c r="B348" t="str">
        <f>IF(A348&lt;&gt;"",VLOOKUP(A348,Employees!A:Q,2,0),"")</f>
        <v/>
      </c>
      <c r="C348" t="str">
        <f>IF(A348&lt;&gt;"",VLOOKUP(A348,Employees!A:Q,3,0),"")</f>
        <v/>
      </c>
      <c r="D348" s="17" t="str">
        <f>IF(IF(A348&lt;&gt;"",VLOOKUP(A348,Employees!A:Q,4,0),"")="NULL","",IF(A348&lt;&gt;"",VLOOKUP(A348,Employees!A:Q,4,0),""))</f>
        <v/>
      </c>
      <c r="E348" s="17" t="str">
        <f>IF(IF(A348&lt;&gt;"",VLOOKUP(A348,Employees!A:Q,5,0),"")="NULL","",IF(A348&lt;&gt;"",VLOOKUP(A348,Employees!A:Q,5,0),""))</f>
        <v/>
      </c>
      <c r="F348" t="str">
        <f>IF(IF(A348&lt;&gt;"",VLOOKUP(A348,Employees!A:Q,9,0),"")="NULL","",IF(A348&lt;&gt;"",VLOOKUP(A348,Employees!A:Q,9,0),""))</f>
        <v/>
      </c>
      <c r="G348" t="str">
        <f>IF(IF(A348&lt;&gt;"",VLOOKUP(A348,Employees!A:Q,10,0),"")="NULL","",IF(A348&lt;&gt;"",VLOOKUP(A348,Employees!A:Q,10,0),""))</f>
        <v/>
      </c>
      <c r="H348" t="str">
        <f>IF(IF(A348&lt;&gt;"",VLOOKUP(A348,Employees!A:Q,11,0),"")="NULL","",IF(A348&lt;&gt;"",VLOOKUP(A348,Employees!A:Q,11,0),""))</f>
        <v/>
      </c>
      <c r="I348" s="25" t="str">
        <f>IFERROR(VALUE(IF(IF(A348&lt;&gt;"",VLOOKUP(A348,Employees!A:Q,12,0),"")="NULL","",IF(A348&lt;&gt;"",VLOOKUP(A348,Employees!A:Q,12,0),""))),"")</f>
        <v/>
      </c>
      <c r="J348" t="str">
        <f>IF(IF(A348&lt;&gt;"",VLOOKUP(A348,Employees!A:Q,14,0),"")="NULL","",IF(A348&lt;&gt;"",VLOOKUP(A348,Employees!A:Q,14,0),""))</f>
        <v/>
      </c>
    </row>
    <row r="349" spans="2:10" x14ac:dyDescent="0.25">
      <c r="B349" t="str">
        <f>IF(A349&lt;&gt;"",VLOOKUP(A349,Employees!A:Q,2,0),"")</f>
        <v/>
      </c>
      <c r="C349" t="str">
        <f>IF(A349&lt;&gt;"",VLOOKUP(A349,Employees!A:Q,3,0),"")</f>
        <v/>
      </c>
      <c r="D349" s="17" t="str">
        <f>IF(IF(A349&lt;&gt;"",VLOOKUP(A349,Employees!A:Q,4,0),"")="NULL","",IF(A349&lt;&gt;"",VLOOKUP(A349,Employees!A:Q,4,0),""))</f>
        <v/>
      </c>
      <c r="E349" s="17" t="str">
        <f>IF(IF(A349&lt;&gt;"",VLOOKUP(A349,Employees!A:Q,5,0),"")="NULL","",IF(A349&lt;&gt;"",VLOOKUP(A349,Employees!A:Q,5,0),""))</f>
        <v/>
      </c>
      <c r="F349" t="str">
        <f>IF(IF(A349&lt;&gt;"",VLOOKUP(A349,Employees!A:Q,9,0),"")="NULL","",IF(A349&lt;&gt;"",VLOOKUP(A349,Employees!A:Q,9,0),""))</f>
        <v/>
      </c>
      <c r="G349" t="str">
        <f>IF(IF(A349&lt;&gt;"",VLOOKUP(A349,Employees!A:Q,10,0),"")="NULL","",IF(A349&lt;&gt;"",VLOOKUP(A349,Employees!A:Q,10,0),""))</f>
        <v/>
      </c>
      <c r="H349" t="str">
        <f>IF(IF(A349&lt;&gt;"",VLOOKUP(A349,Employees!A:Q,11,0),"")="NULL","",IF(A349&lt;&gt;"",VLOOKUP(A349,Employees!A:Q,11,0),""))</f>
        <v/>
      </c>
      <c r="I349" s="25" t="str">
        <f>IFERROR(VALUE(IF(IF(A349&lt;&gt;"",VLOOKUP(A349,Employees!A:Q,12,0),"")="NULL","",IF(A349&lt;&gt;"",VLOOKUP(A349,Employees!A:Q,12,0),""))),"")</f>
        <v/>
      </c>
      <c r="J349" t="str">
        <f>IF(IF(A349&lt;&gt;"",VLOOKUP(A349,Employees!A:Q,14,0),"")="NULL","",IF(A349&lt;&gt;"",VLOOKUP(A349,Employees!A:Q,14,0),""))</f>
        <v/>
      </c>
    </row>
    <row r="350" spans="2:10" x14ac:dyDescent="0.25">
      <c r="B350" t="str">
        <f>IF(A350&lt;&gt;"",VLOOKUP(A350,Employees!A:Q,2,0),"")</f>
        <v/>
      </c>
      <c r="C350" t="str">
        <f>IF(A350&lt;&gt;"",VLOOKUP(A350,Employees!A:Q,3,0),"")</f>
        <v/>
      </c>
      <c r="D350" s="17" t="str">
        <f>IF(IF(A350&lt;&gt;"",VLOOKUP(A350,Employees!A:Q,4,0),"")="NULL","",IF(A350&lt;&gt;"",VLOOKUP(A350,Employees!A:Q,4,0),""))</f>
        <v/>
      </c>
      <c r="E350" s="17" t="str">
        <f>IF(IF(A350&lt;&gt;"",VLOOKUP(A350,Employees!A:Q,5,0),"")="NULL","",IF(A350&lt;&gt;"",VLOOKUP(A350,Employees!A:Q,5,0),""))</f>
        <v/>
      </c>
      <c r="F350" t="str">
        <f>IF(IF(A350&lt;&gt;"",VLOOKUP(A350,Employees!A:Q,9,0),"")="NULL","",IF(A350&lt;&gt;"",VLOOKUP(A350,Employees!A:Q,9,0),""))</f>
        <v/>
      </c>
      <c r="G350" t="str">
        <f>IF(IF(A350&lt;&gt;"",VLOOKUP(A350,Employees!A:Q,10,0),"")="NULL","",IF(A350&lt;&gt;"",VLOOKUP(A350,Employees!A:Q,10,0),""))</f>
        <v/>
      </c>
      <c r="H350" t="str">
        <f>IF(IF(A350&lt;&gt;"",VLOOKUP(A350,Employees!A:Q,11,0),"")="NULL","",IF(A350&lt;&gt;"",VLOOKUP(A350,Employees!A:Q,11,0),""))</f>
        <v/>
      </c>
      <c r="I350" s="25" t="str">
        <f>IFERROR(VALUE(IF(IF(A350&lt;&gt;"",VLOOKUP(A350,Employees!A:Q,12,0),"")="NULL","",IF(A350&lt;&gt;"",VLOOKUP(A350,Employees!A:Q,12,0),""))),"")</f>
        <v/>
      </c>
      <c r="J350" t="str">
        <f>IF(IF(A350&lt;&gt;"",VLOOKUP(A350,Employees!A:Q,14,0),"")="NULL","",IF(A350&lt;&gt;"",VLOOKUP(A350,Employees!A:Q,14,0),""))</f>
        <v/>
      </c>
    </row>
    <row r="351" spans="2:10" x14ac:dyDescent="0.25">
      <c r="B351" t="str">
        <f>IF(A351&lt;&gt;"",VLOOKUP(A351,Employees!A:Q,2,0),"")</f>
        <v/>
      </c>
      <c r="C351" t="str">
        <f>IF(A351&lt;&gt;"",VLOOKUP(A351,Employees!A:Q,3,0),"")</f>
        <v/>
      </c>
      <c r="D351" s="17" t="str">
        <f>IF(IF(A351&lt;&gt;"",VLOOKUP(A351,Employees!A:Q,4,0),"")="NULL","",IF(A351&lt;&gt;"",VLOOKUP(A351,Employees!A:Q,4,0),""))</f>
        <v/>
      </c>
      <c r="E351" s="17" t="str">
        <f>IF(IF(A351&lt;&gt;"",VLOOKUP(A351,Employees!A:Q,5,0),"")="NULL","",IF(A351&lt;&gt;"",VLOOKUP(A351,Employees!A:Q,5,0),""))</f>
        <v/>
      </c>
      <c r="F351" t="str">
        <f>IF(IF(A351&lt;&gt;"",VLOOKUP(A351,Employees!A:Q,9,0),"")="NULL","",IF(A351&lt;&gt;"",VLOOKUP(A351,Employees!A:Q,9,0),""))</f>
        <v/>
      </c>
      <c r="G351" t="str">
        <f>IF(IF(A351&lt;&gt;"",VLOOKUP(A351,Employees!A:Q,10,0),"")="NULL","",IF(A351&lt;&gt;"",VLOOKUP(A351,Employees!A:Q,10,0),""))</f>
        <v/>
      </c>
      <c r="H351" t="str">
        <f>IF(IF(A351&lt;&gt;"",VLOOKUP(A351,Employees!A:Q,11,0),"")="NULL","",IF(A351&lt;&gt;"",VLOOKUP(A351,Employees!A:Q,11,0),""))</f>
        <v/>
      </c>
      <c r="I351" s="25" t="str">
        <f>IFERROR(VALUE(IF(IF(A351&lt;&gt;"",VLOOKUP(A351,Employees!A:Q,12,0),"")="NULL","",IF(A351&lt;&gt;"",VLOOKUP(A351,Employees!A:Q,12,0),""))),"")</f>
        <v/>
      </c>
      <c r="J351" t="str">
        <f>IF(IF(A351&lt;&gt;"",VLOOKUP(A351,Employees!A:Q,14,0),"")="NULL","",IF(A351&lt;&gt;"",VLOOKUP(A351,Employees!A:Q,14,0),""))</f>
        <v/>
      </c>
    </row>
    <row r="352" spans="2:10" x14ac:dyDescent="0.25">
      <c r="B352" t="str">
        <f>IF(A352&lt;&gt;"",VLOOKUP(A352,Employees!A:Q,2,0),"")</f>
        <v/>
      </c>
      <c r="C352" t="str">
        <f>IF(A352&lt;&gt;"",VLOOKUP(A352,Employees!A:Q,3,0),"")</f>
        <v/>
      </c>
      <c r="D352" s="17" t="str">
        <f>IF(IF(A352&lt;&gt;"",VLOOKUP(A352,Employees!A:Q,4,0),"")="NULL","",IF(A352&lt;&gt;"",VLOOKUP(A352,Employees!A:Q,4,0),""))</f>
        <v/>
      </c>
      <c r="E352" s="17" t="str">
        <f>IF(IF(A352&lt;&gt;"",VLOOKUP(A352,Employees!A:Q,5,0),"")="NULL","",IF(A352&lt;&gt;"",VLOOKUP(A352,Employees!A:Q,5,0),""))</f>
        <v/>
      </c>
      <c r="F352" t="str">
        <f>IF(IF(A352&lt;&gt;"",VLOOKUP(A352,Employees!A:Q,9,0),"")="NULL","",IF(A352&lt;&gt;"",VLOOKUP(A352,Employees!A:Q,9,0),""))</f>
        <v/>
      </c>
      <c r="G352" t="str">
        <f>IF(IF(A352&lt;&gt;"",VLOOKUP(A352,Employees!A:Q,10,0),"")="NULL","",IF(A352&lt;&gt;"",VLOOKUP(A352,Employees!A:Q,10,0),""))</f>
        <v/>
      </c>
      <c r="H352" t="str">
        <f>IF(IF(A352&lt;&gt;"",VLOOKUP(A352,Employees!A:Q,11,0),"")="NULL","",IF(A352&lt;&gt;"",VLOOKUP(A352,Employees!A:Q,11,0),""))</f>
        <v/>
      </c>
      <c r="I352" s="25" t="str">
        <f>IFERROR(VALUE(IF(IF(A352&lt;&gt;"",VLOOKUP(A352,Employees!A:Q,12,0),"")="NULL","",IF(A352&lt;&gt;"",VLOOKUP(A352,Employees!A:Q,12,0),""))),"")</f>
        <v/>
      </c>
      <c r="J352" t="str">
        <f>IF(IF(A352&lt;&gt;"",VLOOKUP(A352,Employees!A:Q,14,0),"")="NULL","",IF(A352&lt;&gt;"",VLOOKUP(A352,Employees!A:Q,14,0),""))</f>
        <v/>
      </c>
    </row>
    <row r="353" spans="2:10" x14ac:dyDescent="0.25">
      <c r="B353" t="str">
        <f>IF(A353&lt;&gt;"",VLOOKUP(A353,Employees!A:Q,2,0),"")</f>
        <v/>
      </c>
      <c r="C353" t="str">
        <f>IF(A353&lt;&gt;"",VLOOKUP(A353,Employees!A:Q,3,0),"")</f>
        <v/>
      </c>
      <c r="D353" s="17" t="str">
        <f>IF(IF(A353&lt;&gt;"",VLOOKUP(A353,Employees!A:Q,4,0),"")="NULL","",IF(A353&lt;&gt;"",VLOOKUP(A353,Employees!A:Q,4,0),""))</f>
        <v/>
      </c>
      <c r="E353" s="17" t="str">
        <f>IF(IF(A353&lt;&gt;"",VLOOKUP(A353,Employees!A:Q,5,0),"")="NULL","",IF(A353&lt;&gt;"",VLOOKUP(A353,Employees!A:Q,5,0),""))</f>
        <v/>
      </c>
      <c r="F353" t="str">
        <f>IF(IF(A353&lt;&gt;"",VLOOKUP(A353,Employees!A:Q,9,0),"")="NULL","",IF(A353&lt;&gt;"",VLOOKUP(A353,Employees!A:Q,9,0),""))</f>
        <v/>
      </c>
      <c r="G353" t="str">
        <f>IF(IF(A353&lt;&gt;"",VLOOKUP(A353,Employees!A:Q,10,0),"")="NULL","",IF(A353&lt;&gt;"",VLOOKUP(A353,Employees!A:Q,10,0),""))</f>
        <v/>
      </c>
      <c r="H353" t="str">
        <f>IF(IF(A353&lt;&gt;"",VLOOKUP(A353,Employees!A:Q,11,0),"")="NULL","",IF(A353&lt;&gt;"",VLOOKUP(A353,Employees!A:Q,11,0),""))</f>
        <v/>
      </c>
      <c r="I353" s="25" t="str">
        <f>IFERROR(VALUE(IF(IF(A353&lt;&gt;"",VLOOKUP(A353,Employees!A:Q,12,0),"")="NULL","",IF(A353&lt;&gt;"",VLOOKUP(A353,Employees!A:Q,12,0),""))),"")</f>
        <v/>
      </c>
      <c r="J353" t="str">
        <f>IF(IF(A353&lt;&gt;"",VLOOKUP(A353,Employees!A:Q,14,0),"")="NULL","",IF(A353&lt;&gt;"",VLOOKUP(A353,Employees!A:Q,14,0),""))</f>
        <v/>
      </c>
    </row>
    <row r="354" spans="2:10" x14ac:dyDescent="0.25">
      <c r="B354" t="str">
        <f>IF(A354&lt;&gt;"",VLOOKUP(A354,Employees!A:Q,2,0),"")</f>
        <v/>
      </c>
      <c r="C354" t="str">
        <f>IF(A354&lt;&gt;"",VLOOKUP(A354,Employees!A:Q,3,0),"")</f>
        <v/>
      </c>
      <c r="D354" s="17" t="str">
        <f>IF(IF(A354&lt;&gt;"",VLOOKUP(A354,Employees!A:Q,4,0),"")="NULL","",IF(A354&lt;&gt;"",VLOOKUP(A354,Employees!A:Q,4,0),""))</f>
        <v/>
      </c>
      <c r="E354" s="17" t="str">
        <f>IF(IF(A354&lt;&gt;"",VLOOKUP(A354,Employees!A:Q,5,0),"")="NULL","",IF(A354&lt;&gt;"",VLOOKUP(A354,Employees!A:Q,5,0),""))</f>
        <v/>
      </c>
      <c r="F354" t="str">
        <f>IF(IF(A354&lt;&gt;"",VLOOKUP(A354,Employees!A:Q,9,0),"")="NULL","",IF(A354&lt;&gt;"",VLOOKUP(A354,Employees!A:Q,9,0),""))</f>
        <v/>
      </c>
      <c r="G354" t="str">
        <f>IF(IF(A354&lt;&gt;"",VLOOKUP(A354,Employees!A:Q,10,0),"")="NULL","",IF(A354&lt;&gt;"",VLOOKUP(A354,Employees!A:Q,10,0),""))</f>
        <v/>
      </c>
      <c r="H354" t="str">
        <f>IF(IF(A354&lt;&gt;"",VLOOKUP(A354,Employees!A:Q,11,0),"")="NULL","",IF(A354&lt;&gt;"",VLOOKUP(A354,Employees!A:Q,11,0),""))</f>
        <v/>
      </c>
      <c r="I354" s="25" t="str">
        <f>IFERROR(VALUE(IF(IF(A354&lt;&gt;"",VLOOKUP(A354,Employees!A:Q,12,0),"")="NULL","",IF(A354&lt;&gt;"",VLOOKUP(A354,Employees!A:Q,12,0),""))),"")</f>
        <v/>
      </c>
      <c r="J354" t="str">
        <f>IF(IF(A354&lt;&gt;"",VLOOKUP(A354,Employees!A:Q,14,0),"")="NULL","",IF(A354&lt;&gt;"",VLOOKUP(A354,Employees!A:Q,14,0),""))</f>
        <v/>
      </c>
    </row>
    <row r="355" spans="2:10" x14ac:dyDescent="0.25">
      <c r="B355" t="str">
        <f>IF(A355&lt;&gt;"",VLOOKUP(A355,Employees!A:Q,2,0),"")</f>
        <v/>
      </c>
      <c r="C355" t="str">
        <f>IF(A355&lt;&gt;"",VLOOKUP(A355,Employees!A:Q,3,0),"")</f>
        <v/>
      </c>
      <c r="D355" s="17" t="str">
        <f>IF(IF(A355&lt;&gt;"",VLOOKUP(A355,Employees!A:Q,4,0),"")="NULL","",IF(A355&lt;&gt;"",VLOOKUP(A355,Employees!A:Q,4,0),""))</f>
        <v/>
      </c>
      <c r="E355" s="17" t="str">
        <f>IF(IF(A355&lt;&gt;"",VLOOKUP(A355,Employees!A:Q,5,0),"")="NULL","",IF(A355&lt;&gt;"",VLOOKUP(A355,Employees!A:Q,5,0),""))</f>
        <v/>
      </c>
      <c r="F355" t="str">
        <f>IF(IF(A355&lt;&gt;"",VLOOKUP(A355,Employees!A:Q,9,0),"")="NULL","",IF(A355&lt;&gt;"",VLOOKUP(A355,Employees!A:Q,9,0),""))</f>
        <v/>
      </c>
      <c r="G355" t="str">
        <f>IF(IF(A355&lt;&gt;"",VLOOKUP(A355,Employees!A:Q,10,0),"")="NULL","",IF(A355&lt;&gt;"",VLOOKUP(A355,Employees!A:Q,10,0),""))</f>
        <v/>
      </c>
      <c r="H355" t="str">
        <f>IF(IF(A355&lt;&gt;"",VLOOKUP(A355,Employees!A:Q,11,0),"")="NULL","",IF(A355&lt;&gt;"",VLOOKUP(A355,Employees!A:Q,11,0),""))</f>
        <v/>
      </c>
      <c r="I355" s="25" t="str">
        <f>IFERROR(VALUE(IF(IF(A355&lt;&gt;"",VLOOKUP(A355,Employees!A:Q,12,0),"")="NULL","",IF(A355&lt;&gt;"",VLOOKUP(A355,Employees!A:Q,12,0),""))),"")</f>
        <v/>
      </c>
      <c r="J355" t="str">
        <f>IF(IF(A355&lt;&gt;"",VLOOKUP(A355,Employees!A:Q,14,0),"")="NULL","",IF(A355&lt;&gt;"",VLOOKUP(A355,Employees!A:Q,14,0),""))</f>
        <v/>
      </c>
    </row>
    <row r="356" spans="2:10" x14ac:dyDescent="0.25">
      <c r="B356" t="str">
        <f>IF(A356&lt;&gt;"",VLOOKUP(A356,Employees!A:Q,2,0),"")</f>
        <v/>
      </c>
      <c r="C356" t="str">
        <f>IF(A356&lt;&gt;"",VLOOKUP(A356,Employees!A:Q,3,0),"")</f>
        <v/>
      </c>
      <c r="D356" s="17" t="str">
        <f>IF(IF(A356&lt;&gt;"",VLOOKUP(A356,Employees!A:Q,4,0),"")="NULL","",IF(A356&lt;&gt;"",VLOOKUP(A356,Employees!A:Q,4,0),""))</f>
        <v/>
      </c>
      <c r="E356" s="17" t="str">
        <f>IF(IF(A356&lt;&gt;"",VLOOKUP(A356,Employees!A:Q,5,0),"")="NULL","",IF(A356&lt;&gt;"",VLOOKUP(A356,Employees!A:Q,5,0),""))</f>
        <v/>
      </c>
      <c r="F356" t="str">
        <f>IF(IF(A356&lt;&gt;"",VLOOKUP(A356,Employees!A:Q,9,0),"")="NULL","",IF(A356&lt;&gt;"",VLOOKUP(A356,Employees!A:Q,9,0),""))</f>
        <v/>
      </c>
      <c r="G356" t="str">
        <f>IF(IF(A356&lt;&gt;"",VLOOKUP(A356,Employees!A:Q,10,0),"")="NULL","",IF(A356&lt;&gt;"",VLOOKUP(A356,Employees!A:Q,10,0),""))</f>
        <v/>
      </c>
      <c r="H356" t="str">
        <f>IF(IF(A356&lt;&gt;"",VLOOKUP(A356,Employees!A:Q,11,0),"")="NULL","",IF(A356&lt;&gt;"",VLOOKUP(A356,Employees!A:Q,11,0),""))</f>
        <v/>
      </c>
      <c r="I356" s="25" t="str">
        <f>IFERROR(VALUE(IF(IF(A356&lt;&gt;"",VLOOKUP(A356,Employees!A:Q,12,0),"")="NULL","",IF(A356&lt;&gt;"",VLOOKUP(A356,Employees!A:Q,12,0),""))),"")</f>
        <v/>
      </c>
      <c r="J356" t="str">
        <f>IF(IF(A356&lt;&gt;"",VLOOKUP(A356,Employees!A:Q,14,0),"")="NULL","",IF(A356&lt;&gt;"",VLOOKUP(A356,Employees!A:Q,14,0),""))</f>
        <v/>
      </c>
    </row>
    <row r="357" spans="2:10" x14ac:dyDescent="0.25">
      <c r="B357" t="str">
        <f>IF(A357&lt;&gt;"",VLOOKUP(A357,Employees!A:Q,2,0),"")</f>
        <v/>
      </c>
      <c r="C357" t="str">
        <f>IF(A357&lt;&gt;"",VLOOKUP(A357,Employees!A:Q,3,0),"")</f>
        <v/>
      </c>
      <c r="D357" s="17" t="str">
        <f>IF(IF(A357&lt;&gt;"",VLOOKUP(A357,Employees!A:Q,4,0),"")="NULL","",IF(A357&lt;&gt;"",VLOOKUP(A357,Employees!A:Q,4,0),""))</f>
        <v/>
      </c>
      <c r="E357" s="17" t="str">
        <f>IF(IF(A357&lt;&gt;"",VLOOKUP(A357,Employees!A:Q,5,0),"")="NULL","",IF(A357&lt;&gt;"",VLOOKUP(A357,Employees!A:Q,5,0),""))</f>
        <v/>
      </c>
      <c r="F357" t="str">
        <f>IF(IF(A357&lt;&gt;"",VLOOKUP(A357,Employees!A:Q,9,0),"")="NULL","",IF(A357&lt;&gt;"",VLOOKUP(A357,Employees!A:Q,9,0),""))</f>
        <v/>
      </c>
      <c r="G357" t="str">
        <f>IF(IF(A357&lt;&gt;"",VLOOKUP(A357,Employees!A:Q,10,0),"")="NULL","",IF(A357&lt;&gt;"",VLOOKUP(A357,Employees!A:Q,10,0),""))</f>
        <v/>
      </c>
      <c r="H357" t="str">
        <f>IF(IF(A357&lt;&gt;"",VLOOKUP(A357,Employees!A:Q,11,0),"")="NULL","",IF(A357&lt;&gt;"",VLOOKUP(A357,Employees!A:Q,11,0),""))</f>
        <v/>
      </c>
      <c r="I357" s="25" t="str">
        <f>IFERROR(VALUE(IF(IF(A357&lt;&gt;"",VLOOKUP(A357,Employees!A:Q,12,0),"")="NULL","",IF(A357&lt;&gt;"",VLOOKUP(A357,Employees!A:Q,12,0),""))),"")</f>
        <v/>
      </c>
      <c r="J357" t="str">
        <f>IF(IF(A357&lt;&gt;"",VLOOKUP(A357,Employees!A:Q,14,0),"")="NULL","",IF(A357&lt;&gt;"",VLOOKUP(A357,Employees!A:Q,14,0),""))</f>
        <v/>
      </c>
    </row>
    <row r="358" spans="2:10" x14ac:dyDescent="0.25">
      <c r="B358" t="str">
        <f>IF(A358&lt;&gt;"",VLOOKUP(A358,Employees!A:Q,2,0),"")</f>
        <v/>
      </c>
      <c r="C358" t="str">
        <f>IF(A358&lt;&gt;"",VLOOKUP(A358,Employees!A:Q,3,0),"")</f>
        <v/>
      </c>
      <c r="D358" s="17" t="str">
        <f>IF(IF(A358&lt;&gt;"",VLOOKUP(A358,Employees!A:Q,4,0),"")="NULL","",IF(A358&lt;&gt;"",VLOOKUP(A358,Employees!A:Q,4,0),""))</f>
        <v/>
      </c>
      <c r="E358" s="17" t="str">
        <f>IF(IF(A358&lt;&gt;"",VLOOKUP(A358,Employees!A:Q,5,0),"")="NULL","",IF(A358&lt;&gt;"",VLOOKUP(A358,Employees!A:Q,5,0),""))</f>
        <v/>
      </c>
      <c r="F358" t="str">
        <f>IF(IF(A358&lt;&gt;"",VLOOKUP(A358,Employees!A:Q,9,0),"")="NULL","",IF(A358&lt;&gt;"",VLOOKUP(A358,Employees!A:Q,9,0),""))</f>
        <v/>
      </c>
      <c r="G358" t="str">
        <f>IF(IF(A358&lt;&gt;"",VLOOKUP(A358,Employees!A:Q,10,0),"")="NULL","",IF(A358&lt;&gt;"",VLOOKUP(A358,Employees!A:Q,10,0),""))</f>
        <v/>
      </c>
      <c r="H358" t="str">
        <f>IF(IF(A358&lt;&gt;"",VLOOKUP(A358,Employees!A:Q,11,0),"")="NULL","",IF(A358&lt;&gt;"",VLOOKUP(A358,Employees!A:Q,11,0),""))</f>
        <v/>
      </c>
      <c r="I358" s="25" t="str">
        <f>IFERROR(VALUE(IF(IF(A358&lt;&gt;"",VLOOKUP(A358,Employees!A:Q,12,0),"")="NULL","",IF(A358&lt;&gt;"",VLOOKUP(A358,Employees!A:Q,12,0),""))),"")</f>
        <v/>
      </c>
      <c r="J358" t="str">
        <f>IF(IF(A358&lt;&gt;"",VLOOKUP(A358,Employees!A:Q,14,0),"")="NULL","",IF(A358&lt;&gt;"",VLOOKUP(A358,Employees!A:Q,14,0),""))</f>
        <v/>
      </c>
    </row>
    <row r="359" spans="2:10" x14ac:dyDescent="0.25">
      <c r="B359" t="str">
        <f>IF(A359&lt;&gt;"",VLOOKUP(A359,Employees!A:Q,2,0),"")</f>
        <v/>
      </c>
      <c r="C359" t="str">
        <f>IF(A359&lt;&gt;"",VLOOKUP(A359,Employees!A:Q,3,0),"")</f>
        <v/>
      </c>
      <c r="D359" s="17" t="str">
        <f>IF(IF(A359&lt;&gt;"",VLOOKUP(A359,Employees!A:Q,4,0),"")="NULL","",IF(A359&lt;&gt;"",VLOOKUP(A359,Employees!A:Q,4,0),""))</f>
        <v/>
      </c>
      <c r="E359" s="17" t="str">
        <f>IF(IF(A359&lt;&gt;"",VLOOKUP(A359,Employees!A:Q,5,0),"")="NULL","",IF(A359&lt;&gt;"",VLOOKUP(A359,Employees!A:Q,5,0),""))</f>
        <v/>
      </c>
      <c r="F359" t="str">
        <f>IF(IF(A359&lt;&gt;"",VLOOKUP(A359,Employees!A:Q,9,0),"")="NULL","",IF(A359&lt;&gt;"",VLOOKUP(A359,Employees!A:Q,9,0),""))</f>
        <v/>
      </c>
      <c r="G359" t="str">
        <f>IF(IF(A359&lt;&gt;"",VLOOKUP(A359,Employees!A:Q,10,0),"")="NULL","",IF(A359&lt;&gt;"",VLOOKUP(A359,Employees!A:Q,10,0),""))</f>
        <v/>
      </c>
      <c r="H359" t="str">
        <f>IF(IF(A359&lt;&gt;"",VLOOKUP(A359,Employees!A:Q,11,0),"")="NULL","",IF(A359&lt;&gt;"",VLOOKUP(A359,Employees!A:Q,11,0),""))</f>
        <v/>
      </c>
      <c r="I359" s="25" t="str">
        <f>IFERROR(VALUE(IF(IF(A359&lt;&gt;"",VLOOKUP(A359,Employees!A:Q,12,0),"")="NULL","",IF(A359&lt;&gt;"",VLOOKUP(A359,Employees!A:Q,12,0),""))),"")</f>
        <v/>
      </c>
      <c r="J359" t="str">
        <f>IF(IF(A359&lt;&gt;"",VLOOKUP(A359,Employees!A:Q,14,0),"")="NULL","",IF(A359&lt;&gt;"",VLOOKUP(A359,Employees!A:Q,14,0),""))</f>
        <v/>
      </c>
    </row>
    <row r="360" spans="2:10" x14ac:dyDescent="0.25">
      <c r="B360" t="str">
        <f>IF(A360&lt;&gt;"",VLOOKUP(A360,Employees!A:Q,2,0),"")</f>
        <v/>
      </c>
      <c r="C360" t="str">
        <f>IF(A360&lt;&gt;"",VLOOKUP(A360,Employees!A:Q,3,0),"")</f>
        <v/>
      </c>
      <c r="D360" s="17" t="str">
        <f>IF(IF(A360&lt;&gt;"",VLOOKUP(A360,Employees!A:Q,4,0),"")="NULL","",IF(A360&lt;&gt;"",VLOOKUP(A360,Employees!A:Q,4,0),""))</f>
        <v/>
      </c>
      <c r="E360" s="17" t="str">
        <f>IF(IF(A360&lt;&gt;"",VLOOKUP(A360,Employees!A:Q,5,0),"")="NULL","",IF(A360&lt;&gt;"",VLOOKUP(A360,Employees!A:Q,5,0),""))</f>
        <v/>
      </c>
      <c r="F360" t="str">
        <f>IF(IF(A360&lt;&gt;"",VLOOKUP(A360,Employees!A:Q,9,0),"")="NULL","",IF(A360&lt;&gt;"",VLOOKUP(A360,Employees!A:Q,9,0),""))</f>
        <v/>
      </c>
      <c r="G360" t="str">
        <f>IF(IF(A360&lt;&gt;"",VLOOKUP(A360,Employees!A:Q,10,0),"")="NULL","",IF(A360&lt;&gt;"",VLOOKUP(A360,Employees!A:Q,10,0),""))</f>
        <v/>
      </c>
      <c r="H360" t="str">
        <f>IF(IF(A360&lt;&gt;"",VLOOKUP(A360,Employees!A:Q,11,0),"")="NULL","",IF(A360&lt;&gt;"",VLOOKUP(A360,Employees!A:Q,11,0),""))</f>
        <v/>
      </c>
      <c r="I360" s="25" t="str">
        <f>IFERROR(VALUE(IF(IF(A360&lt;&gt;"",VLOOKUP(A360,Employees!A:Q,12,0),"")="NULL","",IF(A360&lt;&gt;"",VLOOKUP(A360,Employees!A:Q,12,0),""))),"")</f>
        <v/>
      </c>
      <c r="J360" t="str">
        <f>IF(IF(A360&lt;&gt;"",VLOOKUP(A360,Employees!A:Q,14,0),"")="NULL","",IF(A360&lt;&gt;"",VLOOKUP(A360,Employees!A:Q,14,0),""))</f>
        <v/>
      </c>
    </row>
    <row r="361" spans="2:10" x14ac:dyDescent="0.25">
      <c r="B361" t="str">
        <f>IF(A361&lt;&gt;"",VLOOKUP(A361,Employees!A:Q,2,0),"")</f>
        <v/>
      </c>
      <c r="C361" t="str">
        <f>IF(A361&lt;&gt;"",VLOOKUP(A361,Employees!A:Q,3,0),"")</f>
        <v/>
      </c>
      <c r="D361" s="17" t="str">
        <f>IF(IF(A361&lt;&gt;"",VLOOKUP(A361,Employees!A:Q,4,0),"")="NULL","",IF(A361&lt;&gt;"",VLOOKUP(A361,Employees!A:Q,4,0),""))</f>
        <v/>
      </c>
      <c r="E361" s="17" t="str">
        <f>IF(IF(A361&lt;&gt;"",VLOOKUP(A361,Employees!A:Q,5,0),"")="NULL","",IF(A361&lt;&gt;"",VLOOKUP(A361,Employees!A:Q,5,0),""))</f>
        <v/>
      </c>
      <c r="F361" t="str">
        <f>IF(IF(A361&lt;&gt;"",VLOOKUP(A361,Employees!A:Q,9,0),"")="NULL","",IF(A361&lt;&gt;"",VLOOKUP(A361,Employees!A:Q,9,0),""))</f>
        <v/>
      </c>
      <c r="G361" t="str">
        <f>IF(IF(A361&lt;&gt;"",VLOOKUP(A361,Employees!A:Q,10,0),"")="NULL","",IF(A361&lt;&gt;"",VLOOKUP(A361,Employees!A:Q,10,0),""))</f>
        <v/>
      </c>
      <c r="H361" t="str">
        <f>IF(IF(A361&lt;&gt;"",VLOOKUP(A361,Employees!A:Q,11,0),"")="NULL","",IF(A361&lt;&gt;"",VLOOKUP(A361,Employees!A:Q,11,0),""))</f>
        <v/>
      </c>
      <c r="I361" s="25" t="str">
        <f>IFERROR(VALUE(IF(IF(A361&lt;&gt;"",VLOOKUP(A361,Employees!A:Q,12,0),"")="NULL","",IF(A361&lt;&gt;"",VLOOKUP(A361,Employees!A:Q,12,0),""))),"")</f>
        <v/>
      </c>
      <c r="J361" t="str">
        <f>IF(IF(A361&lt;&gt;"",VLOOKUP(A361,Employees!A:Q,14,0),"")="NULL","",IF(A361&lt;&gt;"",VLOOKUP(A361,Employees!A:Q,14,0),""))</f>
        <v/>
      </c>
    </row>
    <row r="362" spans="2:10" x14ac:dyDescent="0.25">
      <c r="B362" t="str">
        <f>IF(A362&lt;&gt;"",VLOOKUP(A362,Employees!A:Q,2,0),"")</f>
        <v/>
      </c>
      <c r="C362" t="str">
        <f>IF(A362&lt;&gt;"",VLOOKUP(A362,Employees!A:Q,3,0),"")</f>
        <v/>
      </c>
      <c r="D362" s="17" t="str">
        <f>IF(IF(A362&lt;&gt;"",VLOOKUP(A362,Employees!A:Q,4,0),"")="NULL","",IF(A362&lt;&gt;"",VLOOKUP(A362,Employees!A:Q,4,0),""))</f>
        <v/>
      </c>
      <c r="E362" s="17" t="str">
        <f>IF(IF(A362&lt;&gt;"",VLOOKUP(A362,Employees!A:Q,5,0),"")="NULL","",IF(A362&lt;&gt;"",VLOOKUP(A362,Employees!A:Q,5,0),""))</f>
        <v/>
      </c>
      <c r="F362" t="str">
        <f>IF(IF(A362&lt;&gt;"",VLOOKUP(A362,Employees!A:Q,9,0),"")="NULL","",IF(A362&lt;&gt;"",VLOOKUP(A362,Employees!A:Q,9,0),""))</f>
        <v/>
      </c>
      <c r="G362" t="str">
        <f>IF(IF(A362&lt;&gt;"",VLOOKUP(A362,Employees!A:Q,10,0),"")="NULL","",IF(A362&lt;&gt;"",VLOOKUP(A362,Employees!A:Q,10,0),""))</f>
        <v/>
      </c>
      <c r="H362" t="str">
        <f>IF(IF(A362&lt;&gt;"",VLOOKUP(A362,Employees!A:Q,11,0),"")="NULL","",IF(A362&lt;&gt;"",VLOOKUP(A362,Employees!A:Q,11,0),""))</f>
        <v/>
      </c>
      <c r="I362" s="25" t="str">
        <f>IFERROR(VALUE(IF(IF(A362&lt;&gt;"",VLOOKUP(A362,Employees!A:Q,12,0),"")="NULL","",IF(A362&lt;&gt;"",VLOOKUP(A362,Employees!A:Q,12,0),""))),"")</f>
        <v/>
      </c>
      <c r="J362" t="str">
        <f>IF(IF(A362&lt;&gt;"",VLOOKUP(A362,Employees!A:Q,14,0),"")="NULL","",IF(A362&lt;&gt;"",VLOOKUP(A362,Employees!A:Q,14,0),""))</f>
        <v/>
      </c>
    </row>
    <row r="363" spans="2:10" x14ac:dyDescent="0.25">
      <c r="B363" t="str">
        <f>IF(A363&lt;&gt;"",VLOOKUP(A363,Employees!A:Q,2,0),"")</f>
        <v/>
      </c>
    </row>
    <row r="364" spans="2:10" x14ac:dyDescent="0.25">
      <c r="B364" t="str">
        <f>IF(A364&lt;&gt;"",VLOOKUP(A364,Employees!A:Q,2,0),"")</f>
        <v/>
      </c>
    </row>
    <row r="365" spans="2:10" x14ac:dyDescent="0.25">
      <c r="B365" t="str">
        <f>IF(A365&lt;&gt;"",VLOOKUP(A365,Employees!A:Q,2,0),"")</f>
        <v/>
      </c>
    </row>
    <row r="366" spans="2:10" x14ac:dyDescent="0.25">
      <c r="B366" t="str">
        <f>IF(A366&lt;&gt;"",VLOOKUP(A366,Employees!A:Q,2,0),"")</f>
        <v/>
      </c>
    </row>
  </sheetData>
  <mergeCells count="3">
    <mergeCell ref="H1:I1"/>
    <mergeCell ref="F1:G1"/>
    <mergeCell ref="H2:I2"/>
  </mergeCells>
  <conditionalFormatting sqref="F1:K1">
    <cfRule type="cellIs" dxfId="0" priority="2" operator="equal">
      <formula>$H$2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31C7C71-04BC-4B2A-81DD-18380BF184BF}">
          <x14:formula1>
            <xm:f>Calculations!$A$4:$A$6</xm:f>
          </x14:formula1>
          <xm:sqref>O2 H2:I2 G13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13B000-55A4-4AFD-A6CB-072B8EABB389}">
  <sheetPr codeName="Sheet6"/>
  <dimension ref="D1:V42"/>
  <sheetViews>
    <sheetView workbookViewId="0">
      <selection activeCell="B16" sqref="B16"/>
    </sheetView>
  </sheetViews>
  <sheetFormatPr defaultRowHeight="15" x14ac:dyDescent="0.25"/>
  <cols>
    <col min="1" max="1" width="15.5703125" bestFit="1" customWidth="1"/>
    <col min="2" max="2" width="26.85546875" bestFit="1" customWidth="1"/>
    <col min="3" max="3" width="32.5703125" bestFit="1" customWidth="1"/>
    <col min="4" max="4" width="14.140625" style="22" bestFit="1" customWidth="1"/>
    <col min="5" max="5" width="11.140625" style="22" bestFit="1" customWidth="1"/>
    <col min="6" max="6" width="13" bestFit="1" customWidth="1"/>
    <col min="7" max="7" width="11" bestFit="1" customWidth="1"/>
    <col min="8" max="8" width="16.5703125" bestFit="1" customWidth="1"/>
    <col min="9" max="9" width="25.28515625" bestFit="1" customWidth="1"/>
    <col min="10" max="10" width="21.140625" bestFit="1" customWidth="1"/>
    <col min="11" max="11" width="20.42578125" bestFit="1" customWidth="1"/>
    <col min="12" max="12" width="14" bestFit="1" customWidth="1"/>
    <col min="13" max="13" width="16.85546875" style="22" bestFit="1" customWidth="1"/>
    <col min="14" max="14" width="35" bestFit="1" customWidth="1"/>
    <col min="15" max="15" width="14.42578125" bestFit="1" customWidth="1"/>
    <col min="16" max="16" width="39.28515625" bestFit="1" customWidth="1"/>
    <col min="17" max="17" width="10" bestFit="1" customWidth="1"/>
    <col min="18" max="18" width="15" bestFit="1" customWidth="1"/>
    <col min="19" max="19" width="12.5703125" bestFit="1" customWidth="1"/>
    <col min="20" max="20" width="18.42578125" bestFit="1" customWidth="1"/>
    <col min="21" max="21" width="16" bestFit="1" customWidth="1"/>
    <col min="22" max="22" width="24.28515625" style="59" bestFit="1" customWidth="1"/>
    <col min="23" max="23" width="14.7109375" bestFit="1" customWidth="1"/>
  </cols>
  <sheetData>
    <row r="1" spans="4:13" x14ac:dyDescent="0.25">
      <c r="D1"/>
      <c r="E1"/>
      <c r="H1" s="22"/>
      <c r="M1"/>
    </row>
    <row r="2" spans="4:13" x14ac:dyDescent="0.25">
      <c r="D2"/>
      <c r="E2"/>
      <c r="M2"/>
    </row>
    <row r="3" spans="4:13" x14ac:dyDescent="0.25">
      <c r="D3"/>
      <c r="E3"/>
      <c r="M3"/>
    </row>
    <row r="4" spans="4:13" x14ac:dyDescent="0.25">
      <c r="D4"/>
      <c r="E4"/>
      <c r="M4"/>
    </row>
    <row r="5" spans="4:13" x14ac:dyDescent="0.25">
      <c r="D5"/>
      <c r="E5"/>
      <c r="M5"/>
    </row>
    <row r="6" spans="4:13" x14ac:dyDescent="0.25">
      <c r="D6"/>
      <c r="E6"/>
      <c r="M6"/>
    </row>
    <row r="7" spans="4:13" x14ac:dyDescent="0.25">
      <c r="D7"/>
      <c r="E7"/>
      <c r="M7"/>
    </row>
    <row r="8" spans="4:13" x14ac:dyDescent="0.25">
      <c r="D8"/>
      <c r="E8"/>
      <c r="M8"/>
    </row>
    <row r="9" spans="4:13" x14ac:dyDescent="0.25">
      <c r="D9"/>
      <c r="E9"/>
      <c r="M9"/>
    </row>
    <row r="10" spans="4:13" x14ac:dyDescent="0.25">
      <c r="D10"/>
      <c r="E10"/>
      <c r="M10"/>
    </row>
    <row r="11" spans="4:13" x14ac:dyDescent="0.25">
      <c r="D11"/>
      <c r="E11"/>
      <c r="M11"/>
    </row>
    <row r="12" spans="4:13" x14ac:dyDescent="0.25">
      <c r="D12"/>
      <c r="E12"/>
      <c r="M12"/>
    </row>
    <row r="13" spans="4:13" x14ac:dyDescent="0.25">
      <c r="D13"/>
      <c r="E13"/>
      <c r="M13"/>
    </row>
    <row r="14" spans="4:13" x14ac:dyDescent="0.25">
      <c r="D14"/>
      <c r="E14"/>
      <c r="M14"/>
    </row>
    <row r="15" spans="4:13" x14ac:dyDescent="0.25">
      <c r="D15"/>
      <c r="E15"/>
      <c r="M15"/>
    </row>
    <row r="16" spans="4:13" x14ac:dyDescent="0.25">
      <c r="D16"/>
      <c r="E16"/>
      <c r="M16"/>
    </row>
    <row r="17" spans="4:13" x14ac:dyDescent="0.25">
      <c r="D17"/>
      <c r="E17"/>
      <c r="M17"/>
    </row>
    <row r="18" spans="4:13" x14ac:dyDescent="0.25">
      <c r="D18"/>
      <c r="E18"/>
      <c r="M18"/>
    </row>
    <row r="19" spans="4:13" x14ac:dyDescent="0.25">
      <c r="D19"/>
      <c r="E19"/>
      <c r="M19"/>
    </row>
    <row r="20" spans="4:13" x14ac:dyDescent="0.25">
      <c r="D20"/>
      <c r="E20"/>
      <c r="M20"/>
    </row>
    <row r="21" spans="4:13" x14ac:dyDescent="0.25">
      <c r="D21"/>
      <c r="E21"/>
      <c r="M21"/>
    </row>
    <row r="22" spans="4:13" x14ac:dyDescent="0.25">
      <c r="D22"/>
      <c r="E22"/>
      <c r="M22"/>
    </row>
    <row r="23" spans="4:13" x14ac:dyDescent="0.25">
      <c r="D23"/>
      <c r="E23"/>
      <c r="M23"/>
    </row>
    <row r="24" spans="4:13" x14ac:dyDescent="0.25">
      <c r="D24"/>
      <c r="E24"/>
      <c r="M24"/>
    </row>
    <row r="25" spans="4:13" x14ac:dyDescent="0.25">
      <c r="D25"/>
      <c r="E25"/>
      <c r="M25"/>
    </row>
    <row r="26" spans="4:13" x14ac:dyDescent="0.25">
      <c r="D26"/>
      <c r="E26"/>
      <c r="M26"/>
    </row>
    <row r="27" spans="4:13" x14ac:dyDescent="0.25">
      <c r="D27"/>
      <c r="E27"/>
      <c r="M27"/>
    </row>
    <row r="28" spans="4:13" x14ac:dyDescent="0.25">
      <c r="D28"/>
      <c r="E28"/>
      <c r="M28"/>
    </row>
    <row r="29" spans="4:13" x14ac:dyDescent="0.25">
      <c r="D29"/>
      <c r="E29"/>
      <c r="M29"/>
    </row>
    <row r="30" spans="4:13" x14ac:dyDescent="0.25">
      <c r="D30"/>
      <c r="E30"/>
      <c r="M30"/>
    </row>
    <row r="31" spans="4:13" x14ac:dyDescent="0.25">
      <c r="D31"/>
      <c r="E31"/>
      <c r="M31"/>
    </row>
    <row r="32" spans="4:13" x14ac:dyDescent="0.25">
      <c r="D32"/>
      <c r="E32"/>
      <c r="M32"/>
    </row>
    <row r="33" spans="4:13" x14ac:dyDescent="0.25">
      <c r="D33"/>
      <c r="E33"/>
      <c r="M33"/>
    </row>
    <row r="34" spans="4:13" x14ac:dyDescent="0.25">
      <c r="D34"/>
      <c r="E34"/>
      <c r="M34"/>
    </row>
    <row r="35" spans="4:13" x14ac:dyDescent="0.25">
      <c r="D35"/>
      <c r="E35"/>
      <c r="M35"/>
    </row>
    <row r="36" spans="4:13" x14ac:dyDescent="0.25">
      <c r="D36"/>
      <c r="E36"/>
      <c r="M36"/>
    </row>
    <row r="37" spans="4:13" x14ac:dyDescent="0.25">
      <c r="D37"/>
      <c r="E37"/>
      <c r="M37"/>
    </row>
    <row r="38" spans="4:13" x14ac:dyDescent="0.25">
      <c r="D38"/>
      <c r="E38"/>
      <c r="M38"/>
    </row>
    <row r="39" spans="4:13" x14ac:dyDescent="0.25">
      <c r="D39"/>
      <c r="E39"/>
      <c r="M39"/>
    </row>
    <row r="40" spans="4:13" x14ac:dyDescent="0.25">
      <c r="D40"/>
      <c r="E40"/>
      <c r="M40"/>
    </row>
    <row r="41" spans="4:13" x14ac:dyDescent="0.25">
      <c r="D41"/>
      <c r="E41"/>
      <c r="M41"/>
    </row>
    <row r="42" spans="4:13" x14ac:dyDescent="0.25">
      <c r="D42"/>
      <c r="E42"/>
      <c r="M42"/>
    </row>
  </sheetData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656A0ED-C9C7-49D8-904D-C93379E14B8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DASHBOARD</vt:lpstr>
      <vt:lpstr>Payroll Sheet</vt:lpstr>
      <vt:lpstr>Attendance</vt:lpstr>
      <vt:lpstr>Calculations</vt:lpstr>
      <vt:lpstr>Employee_Register</vt:lpstr>
      <vt:lpstr>Employees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Hamza Bin Azam</dc:creator>
  <cp:lastModifiedBy>Hamza Bin Azam</cp:lastModifiedBy>
  <cp:lastPrinted>2022-10-23T19:00:01Z</cp:lastPrinted>
  <dcterms:created xsi:type="dcterms:W3CDTF">2022-10-23T17:32:48Z</dcterms:created>
  <dcterms:modified xsi:type="dcterms:W3CDTF">2022-10-25T18:53:48Z</dcterms:modified>
</cp:coreProperties>
</file>